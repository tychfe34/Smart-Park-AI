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609\Desktop\"/>
    </mc:Choice>
  </mc:AlternateContent>
  <xr:revisionPtr revIDLastSave="0" documentId="13_ncr:1_{D9064305-A1EF-44F5-B516-E642CF3069EF}" xr6:coauthVersionLast="47" xr6:coauthVersionMax="47" xr10:uidLastSave="{00000000-0000-0000-0000-000000000000}"/>
  <bookViews>
    <workbookView xWindow="-98" yWindow="-98" windowWidth="17115" windowHeight="10755" xr2:uid="{9C0F8A54-1E87-4178-B246-AED70415AF32}"/>
  </bookViews>
  <sheets>
    <sheet name="Financial Projections " sheetId="1" r:id="rId1"/>
    <sheet name="Income Statement " sheetId="2" r:id="rId2"/>
    <sheet name="Cash Flow Statement " sheetId="3" r:id="rId3"/>
    <sheet name="Balance Sheet " sheetId="4" r:id="rId4"/>
    <sheet name="Key Financial Ratios &amp; Metrics " sheetId="5" r:id="rId5"/>
    <sheet name="Summary of Key Financial Metric" sheetId="6" r:id="rId6"/>
    <sheet name="Startup Costs Table" sheetId="7" r:id="rId7"/>
    <sheet name="Break-Even Analysis" sheetId="8" r:id="rId8"/>
    <sheet name="NPV,IRR, Payback" sheetId="13" r:id="rId9"/>
    <sheet name="Sources,Uses of Funds Statement" sheetId="9" r:id="rId10"/>
    <sheet name="Assumptions Sheet" sheetId="10" r:id="rId11"/>
    <sheet name="Potentail Funding Sources" sheetId="11" r:id="rId12"/>
    <sheet name="Fixed and Variable Cost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  <c r="B22" i="3"/>
  <c r="B23" i="3"/>
</calcChain>
</file>

<file path=xl/sharedStrings.xml><?xml version="1.0" encoding="utf-8"?>
<sst xmlns="http://schemas.openxmlformats.org/spreadsheetml/2006/main" count="376" uniqueCount="303">
  <si>
    <r>
      <t>Gross Margin</t>
    </r>
    <r>
      <rPr>
        <sz val="12"/>
        <rFont val="Aptos"/>
        <family val="2"/>
      </rPr>
      <t> </t>
    </r>
  </si>
  <si>
    <t>96% </t>
  </si>
  <si>
    <t>97% </t>
  </si>
  <si>
    <r>
      <t>Operating Margin</t>
    </r>
    <r>
      <rPr>
        <sz val="12"/>
        <rFont val="Aptos"/>
        <family val="2"/>
      </rPr>
      <t> </t>
    </r>
  </si>
  <si>
    <t>62% </t>
  </si>
  <si>
    <t>77% </t>
  </si>
  <si>
    <r>
      <t>Revenue Growth</t>
    </r>
    <r>
      <rPr>
        <sz val="12"/>
        <rFont val="Aptos"/>
        <family val="2"/>
      </rPr>
      <t> </t>
    </r>
  </si>
  <si>
    <t>- </t>
  </si>
  <si>
    <t>369% </t>
  </si>
  <si>
    <t>321% </t>
  </si>
  <si>
    <r>
      <t>Current Ratio</t>
    </r>
    <r>
      <rPr>
        <sz val="12"/>
        <rFont val="Aptos"/>
        <family val="2"/>
      </rPr>
      <t> </t>
    </r>
  </si>
  <si>
    <t>10.4 </t>
  </si>
  <si>
    <t>16.8 </t>
  </si>
  <si>
    <t>41.6 </t>
  </si>
  <si>
    <r>
      <t>Burn Rate (monthly)</t>
    </r>
    <r>
      <rPr>
        <sz val="12"/>
        <rFont val="Aptos"/>
        <family val="2"/>
      </rPr>
      <t> </t>
    </r>
  </si>
  <si>
    <t>$1,177 </t>
  </si>
  <si>
    <t>Profitable </t>
  </si>
  <si>
    <r>
      <t>Customer Acquisition Cost</t>
    </r>
    <r>
      <rPr>
        <sz val="12"/>
        <rFont val="Aptos"/>
        <family val="2"/>
      </rPr>
      <t> </t>
    </r>
  </si>
  <si>
    <t>$30 </t>
  </si>
  <si>
    <t>$10 </t>
  </si>
  <si>
    <t>$6 </t>
  </si>
  <si>
    <r>
      <t>Lifetime Value (LTV)</t>
    </r>
    <r>
      <rPr>
        <sz val="12"/>
        <rFont val="Aptos"/>
        <family val="2"/>
      </rPr>
      <t> </t>
    </r>
  </si>
  <si>
    <t>$180 </t>
  </si>
  <si>
    <t>$240 </t>
  </si>
  <si>
    <t>$300 </t>
  </si>
  <si>
    <r>
      <t>LTV:CAC Ratio</t>
    </r>
    <r>
      <rPr>
        <sz val="12"/>
        <rFont val="Aptos"/>
        <family val="2"/>
      </rPr>
      <t> </t>
    </r>
  </si>
  <si>
    <t>6:1 </t>
  </si>
  <si>
    <t>24:1 </t>
  </si>
  <si>
    <t>50:1 </t>
  </si>
  <si>
    <r>
      <t>Monthly Recurring Revenue (MRR)</t>
    </r>
    <r>
      <rPr>
        <sz val="12"/>
        <rFont val="Aptos"/>
        <family val="2"/>
      </rPr>
      <t> </t>
    </r>
  </si>
  <si>
    <t>$4,990 </t>
  </si>
  <si>
    <t>$24,950 </t>
  </si>
  <si>
    <t>$99,800 </t>
  </si>
  <si>
    <t>Year</t>
  </si>
  <si>
    <t>Revenue</t>
  </si>
  <si>
    <t>Expenses</t>
  </si>
  <si>
    <t>Net Income</t>
  </si>
  <si>
    <t>Line Item</t>
  </si>
  <si>
    <t>Year 1</t>
  </si>
  <si>
    <t>Year 2</t>
  </si>
  <si>
    <t>Year 3</t>
  </si>
  <si>
    <t>Student Subscriptions</t>
  </si>
  <si>
    <t>University Contracts</t>
  </si>
  <si>
    <t>Transaction Fees</t>
  </si>
  <si>
    <t>Total Revenue</t>
  </si>
  <si>
    <t>EXPENSES</t>
  </si>
  <si>
    <t>Development &amp; AI</t>
  </si>
  <si>
    <t>Marketing &amp; Sales</t>
  </si>
  <si>
    <t>Personnel</t>
  </si>
  <si>
    <t>Operations &amp; Legal</t>
  </si>
  <si>
    <t>Cloud Hosting &amp; Infrastructure</t>
  </si>
  <si>
    <t>Customer Support</t>
  </si>
  <si>
    <t>Total Expenses</t>
  </si>
  <si>
    <t>Net Income (Loss)</t>
  </si>
  <si>
    <t>Gross Margin</t>
  </si>
  <si>
    <t>Operating Margin</t>
  </si>
  <si>
    <t>REVENUE</t>
  </si>
  <si>
    <t>Cash Flow Item</t>
  </si>
  <si>
    <t>Begainning Cash</t>
  </si>
  <si>
    <t>Operating Activities</t>
  </si>
  <si>
    <t>Adjustments:</t>
  </si>
  <si>
    <t>Accounts Receivable Change</t>
  </si>
  <si>
    <t>Accounts Payable Change</t>
  </si>
  <si>
    <t>Net Cash from Operations</t>
  </si>
  <si>
    <t>Investing Activities</t>
  </si>
  <si>
    <t>Software Development (capitalized)</t>
  </si>
  <si>
    <t>Equipment Purchases</t>
  </si>
  <si>
    <t>Net Cash from Investing</t>
  </si>
  <si>
    <t>Financing Activities</t>
  </si>
  <si>
    <t>Initial Funding (Pre-seed)</t>
  </si>
  <si>
    <t>Seed Funding (Series Seed)</t>
  </si>
  <si>
    <t>Loan Repayments</t>
  </si>
  <si>
    <t>Net Cash from Financing</t>
  </si>
  <si>
    <t>Net Change in Cash</t>
  </si>
  <si>
    <t>Ending Cash Balance</t>
  </si>
  <si>
    <t>Balance Sheet Item</t>
  </si>
  <si>
    <t>ASSETS</t>
  </si>
  <si>
    <t>Current Assets:</t>
  </si>
  <si>
    <t>Cash</t>
  </si>
  <si>
    <t>Accounts Receivable</t>
  </si>
  <si>
    <t>Prepaid Expenses</t>
  </si>
  <si>
    <t>Total Current Assets</t>
  </si>
  <si>
    <t>Fixed Assets:</t>
  </si>
  <si>
    <t>Software (net of amortization)</t>
  </si>
  <si>
    <t>Equipment (net of depreciation)</t>
  </si>
  <si>
    <t>Total Fixed Assets</t>
  </si>
  <si>
    <t>TOTAL ASSETS</t>
  </si>
  <si>
    <t>LIABILITIES</t>
  </si>
  <si>
    <t>Current Liabilities</t>
  </si>
  <si>
    <t>Accounts Payable</t>
  </si>
  <si>
    <t>Accrued Expenses</t>
  </si>
  <si>
    <t>Total Current Liabilities</t>
  </si>
  <si>
    <t>Long-term Liabilities:</t>
  </si>
  <si>
    <t>Convertible Notes</t>
  </si>
  <si>
    <t>Total Liabilities</t>
  </si>
  <si>
    <t>EQUITY</t>
  </si>
  <si>
    <t>Common Stock</t>
  </si>
  <si>
    <t>Retained Earnings</t>
  </si>
  <si>
    <t>Total Equity</t>
  </si>
  <si>
    <t>TOTAL LIABILITIES &amp; EQUITY</t>
  </si>
  <si>
    <r>
      <t>Metric</t>
    </r>
    <r>
      <rPr>
        <sz val="14"/>
        <rFont val="Aptos"/>
        <family val="2"/>
      </rPr>
      <t> </t>
    </r>
  </si>
  <si>
    <r>
      <t>Year 1</t>
    </r>
    <r>
      <rPr>
        <sz val="14"/>
        <rFont val="Aptos"/>
        <family val="2"/>
      </rPr>
      <t> </t>
    </r>
  </si>
  <si>
    <r>
      <t>Year 2</t>
    </r>
    <r>
      <rPr>
        <sz val="14"/>
        <rFont val="Aptos"/>
        <family val="2"/>
      </rPr>
      <t> </t>
    </r>
  </si>
  <si>
    <r>
      <t>Year 3</t>
    </r>
    <r>
      <rPr>
        <sz val="14"/>
        <rFont val="Aptos"/>
        <family val="2"/>
      </rPr>
      <t> </t>
    </r>
  </si>
  <si>
    <t>(12%) </t>
  </si>
  <si>
    <r>
      <t>Metric</t>
    </r>
    <r>
      <rPr>
        <sz val="12"/>
        <rFont val="Times New Roman"/>
        <family val="1"/>
      </rPr>
      <t> </t>
    </r>
  </si>
  <si>
    <r>
      <t>Year 1</t>
    </r>
    <r>
      <rPr>
        <sz val="12"/>
        <rFont val="Times New Roman"/>
        <family val="1"/>
      </rPr>
      <t> </t>
    </r>
  </si>
  <si>
    <r>
      <t>Year 2</t>
    </r>
    <r>
      <rPr>
        <sz val="12"/>
        <rFont val="Times New Roman"/>
        <family val="1"/>
      </rPr>
      <t> </t>
    </r>
  </si>
  <si>
    <r>
      <t>Year 3</t>
    </r>
    <r>
      <rPr>
        <sz val="12"/>
        <rFont val="Times New Roman"/>
        <family val="1"/>
      </rPr>
      <t> </t>
    </r>
  </si>
  <si>
    <r>
      <t>Revenue</t>
    </r>
    <r>
      <rPr>
        <sz val="12"/>
        <rFont val="Times New Roman"/>
        <family val="1"/>
      </rPr>
      <t> </t>
    </r>
  </si>
  <si>
    <t>$113,880 </t>
  </si>
  <si>
    <t>$534,400 </t>
  </si>
  <si>
    <t>$2,247,600 </t>
  </si>
  <si>
    <r>
      <t>Expenses</t>
    </r>
    <r>
      <rPr>
        <sz val="12"/>
        <rFont val="Times New Roman"/>
        <family val="1"/>
      </rPr>
      <t> </t>
    </r>
  </si>
  <si>
    <t>$128,000 </t>
  </si>
  <si>
    <t>$205,000 </t>
  </si>
  <si>
    <t>$510,000 </t>
  </si>
  <si>
    <r>
      <t>Net Income</t>
    </r>
    <r>
      <rPr>
        <sz val="12"/>
        <rFont val="Times New Roman"/>
        <family val="1"/>
      </rPr>
      <t> </t>
    </r>
  </si>
  <si>
    <t>-$14,120 </t>
  </si>
  <si>
    <t>$329,400 </t>
  </si>
  <si>
    <t>$1,737,600 </t>
  </si>
  <si>
    <r>
      <t>Gross Margin</t>
    </r>
    <r>
      <rPr>
        <sz val="12"/>
        <rFont val="Times New Roman"/>
        <family val="1"/>
      </rPr>
      <t> </t>
    </r>
  </si>
  <si>
    <r>
      <t>Operating Margin</t>
    </r>
    <r>
      <rPr>
        <sz val="12"/>
        <rFont val="Times New Roman"/>
        <family val="1"/>
      </rPr>
      <t> </t>
    </r>
  </si>
  <si>
    <t>-12% </t>
  </si>
  <si>
    <r>
      <t>Cash Reserves (End of Year)</t>
    </r>
    <r>
      <rPr>
        <sz val="12"/>
        <rFont val="Times New Roman"/>
        <family val="1"/>
      </rPr>
      <t> </t>
    </r>
  </si>
  <si>
    <t>$135,880 </t>
  </si>
  <si>
    <t>$465,280 </t>
  </si>
  <si>
    <t>$2,110,880 </t>
  </si>
  <si>
    <r>
      <t>Expense Category</t>
    </r>
    <r>
      <rPr>
        <sz val="12"/>
        <rFont val="Times New Roman"/>
        <family val="1"/>
      </rPr>
      <t> </t>
    </r>
  </si>
  <si>
    <r>
      <t>Purpose / Description</t>
    </r>
    <r>
      <rPr>
        <sz val="12"/>
        <rFont val="Times New Roman"/>
        <family val="1"/>
      </rPr>
      <t> </t>
    </r>
  </si>
  <si>
    <r>
      <t>Cost Estimate (USD)</t>
    </r>
    <r>
      <rPr>
        <sz val="12"/>
        <rFont val="Times New Roman"/>
        <family val="1"/>
      </rPr>
      <t> </t>
    </r>
  </si>
  <si>
    <r>
      <t>% of Total</t>
    </r>
    <r>
      <rPr>
        <sz val="12"/>
        <rFont val="Times New Roman"/>
        <family val="1"/>
      </rPr>
      <t> </t>
    </r>
  </si>
  <si>
    <t>Software &amp; AI Development </t>
  </si>
  <si>
    <t>MVP, app build, server setup </t>
  </si>
  <si>
    <t>$60,000 </t>
  </si>
  <si>
    <t>40% </t>
  </si>
  <si>
    <t>Marketing &amp; Outreach </t>
  </si>
  <si>
    <t>Branding, social campaigns, student ambassadors </t>
  </si>
  <si>
    <t>$30,000 </t>
  </si>
  <si>
    <t>20% </t>
  </si>
  <si>
    <t>Personnel </t>
  </si>
  <si>
    <t>Core team stipends, advisor honoraria </t>
  </si>
  <si>
    <t>$20,000 </t>
  </si>
  <si>
    <t>13% </t>
  </si>
  <si>
    <t>Operations &amp; Equipment </t>
  </si>
  <si>
    <t>IoT sensors, signage, testing devices </t>
  </si>
  <si>
    <t>$25,000 </t>
  </si>
  <si>
    <t>17% </t>
  </si>
  <si>
    <t>Legal &amp; IP </t>
  </si>
  <si>
    <t>Incorporation, trademarks, contracts </t>
  </si>
  <si>
    <t>$5,000 </t>
  </si>
  <si>
    <t>3% </t>
  </si>
  <si>
    <t>Reserve Fund </t>
  </si>
  <si>
    <t>Emergency &amp; scalability buffer </t>
  </si>
  <si>
    <t>$10,000 </t>
  </si>
  <si>
    <t>7% </t>
  </si>
  <si>
    <r>
      <t>100%</t>
    </r>
    <r>
      <rPr>
        <sz val="12"/>
        <rFont val="Times New Roman"/>
        <family val="1"/>
      </rPr>
      <t> </t>
    </r>
  </si>
  <si>
    <r>
      <t>Category</t>
    </r>
    <r>
      <rPr>
        <sz val="12"/>
        <rFont val="Times New Roman"/>
        <family val="1"/>
      </rPr>
      <t> </t>
    </r>
  </si>
  <si>
    <r>
      <t>Description</t>
    </r>
    <r>
      <rPr>
        <sz val="12"/>
        <rFont val="Times New Roman"/>
        <family val="1"/>
      </rPr>
      <t> </t>
    </r>
  </si>
  <si>
    <r>
      <t>Amount (USD)</t>
    </r>
    <r>
      <rPr>
        <sz val="12"/>
        <rFont val="Times New Roman"/>
        <family val="1"/>
      </rPr>
      <t> </t>
    </r>
  </si>
  <si>
    <r>
      <t>Sources of Funds</t>
    </r>
    <r>
      <rPr>
        <sz val="12"/>
        <rFont val="Times New Roman"/>
        <family val="1"/>
      </rPr>
      <t> </t>
    </r>
  </si>
  <si>
    <t>Founder Contributions </t>
  </si>
  <si>
    <t>Initial capital from founding team </t>
  </si>
  <si>
    <t>8% </t>
  </si>
  <si>
    <t>Friends &amp; Family / Angel </t>
  </si>
  <si>
    <t>Early seed support for prototype </t>
  </si>
  <si>
    <t>12% </t>
  </si>
  <si>
    <t>Pre-Seed Round (CPP Pilot) </t>
  </si>
  <si>
    <t>Initial investor or grant support </t>
  </si>
  <si>
    <t>$100,000 </t>
  </si>
  <si>
    <t>CSU Sustainability Grant / Public-Private Funds </t>
  </si>
  <si>
    <t>Sustainability &amp; innovation grants </t>
  </si>
  <si>
    <t>$80,000 </t>
  </si>
  <si>
    <t>32% </t>
  </si>
  <si>
    <t>Pilot Program Revenue </t>
  </si>
  <si>
    <t>Early campus testing revenue </t>
  </si>
  <si>
    <r>
      <t>Total Sources</t>
    </r>
    <r>
      <rPr>
        <sz val="12"/>
        <rFont val="Times New Roman"/>
        <family val="1"/>
      </rPr>
      <t> </t>
    </r>
  </si>
  <si>
    <r>
      <t>$250,000</t>
    </r>
    <r>
      <rPr>
        <sz val="12"/>
        <rFont val="Times New Roman"/>
        <family val="1"/>
      </rPr>
      <t> </t>
    </r>
  </si>
  <si>
    <r>
      <t>Uses of Funds</t>
    </r>
    <r>
      <rPr>
        <sz val="12"/>
        <rFont val="Times New Roman"/>
        <family val="1"/>
      </rPr>
      <t> </t>
    </r>
  </si>
  <si>
    <r>
      <t>Purpose</t>
    </r>
    <r>
      <rPr>
        <sz val="12"/>
        <rFont val="Times New Roman"/>
        <family val="1"/>
      </rPr>
      <t> </t>
    </r>
  </si>
  <si>
    <t>Build MVP, predictive algorithm </t>
  </si>
  <si>
    <t>24% </t>
  </si>
  <si>
    <t>Equipment &amp; IoT Sensors </t>
  </si>
  <si>
    <t>Installation and calibration </t>
  </si>
  <si>
    <t>10% </t>
  </si>
  <si>
    <t>Marketing &amp; Launch </t>
  </si>
  <si>
    <t>Student ambassadors, social media </t>
  </si>
  <si>
    <t>$40,000 </t>
  </si>
  <si>
    <t>16% </t>
  </si>
  <si>
    <t>Personnel &amp; Advisors </t>
  </si>
  <si>
    <t>Developer, marketing, operations </t>
  </si>
  <si>
    <t>$55,000 </t>
  </si>
  <si>
    <t>22% </t>
  </si>
  <si>
    <t>Legal &amp; Compliance </t>
  </si>
  <si>
    <t>IP, incorporation, contracts </t>
  </si>
  <si>
    <t>4% </t>
  </si>
  <si>
    <t>Operations &amp; Hosting </t>
  </si>
  <si>
    <t>AWS, tools, QA, customer support </t>
  </si>
  <si>
    <t>Reserve &amp; Contingency </t>
  </si>
  <si>
    <t>10% buffer for overruns </t>
  </si>
  <si>
    <r>
      <t>Assumption</t>
    </r>
    <r>
      <rPr>
        <sz val="12"/>
        <rFont val="Times New Roman"/>
        <family val="1"/>
      </rPr>
      <t> </t>
    </r>
  </si>
  <si>
    <r>
      <t>Rationale / Source</t>
    </r>
    <r>
      <rPr>
        <sz val="12"/>
        <rFont val="Times New Roman"/>
        <family val="1"/>
      </rPr>
      <t> </t>
    </r>
  </si>
  <si>
    <r>
      <t>Pricing Model</t>
    </r>
    <r>
      <rPr>
        <sz val="12"/>
        <rFont val="Times New Roman"/>
        <family val="1"/>
      </rPr>
      <t> </t>
    </r>
  </si>
  <si>
    <t>$4.99/month per student </t>
  </si>
  <si>
    <t>Market-competitive, similar to ParkMobile </t>
  </si>
  <si>
    <r>
      <t>Contract Revenue (per campus)</t>
    </r>
    <r>
      <rPr>
        <sz val="12"/>
        <rFont val="Times New Roman"/>
        <family val="1"/>
      </rPr>
      <t> </t>
    </r>
  </si>
  <si>
    <t>$50,000–$100,000 annually </t>
  </si>
  <si>
    <t>Based on comparable campus tech pilot programs </t>
  </si>
  <si>
    <r>
      <t>Variable Cost per User</t>
    </r>
    <r>
      <rPr>
        <sz val="12"/>
        <rFont val="Times New Roman"/>
        <family val="1"/>
      </rPr>
      <t> </t>
    </r>
  </si>
  <si>
    <t>$2.50/month </t>
  </si>
  <si>
    <t>Includes payment processing, support </t>
  </si>
  <si>
    <r>
      <t>Fixed Costs</t>
    </r>
    <r>
      <rPr>
        <sz val="12"/>
        <rFont val="Times New Roman"/>
        <family val="1"/>
      </rPr>
      <t> </t>
    </r>
  </si>
  <si>
    <t>$10,667/month </t>
  </si>
  <si>
    <t>Development, hosting, salaries </t>
  </si>
  <si>
    <r>
      <t>User Growth</t>
    </r>
    <r>
      <rPr>
        <sz val="12"/>
        <rFont val="Times New Roman"/>
        <family val="1"/>
      </rPr>
      <t> </t>
    </r>
  </si>
  <si>
    <t>4,000 → 25,000 users over 3 years </t>
  </si>
  <si>
    <t>Aligned with CPP + CSU expansion </t>
  </si>
  <si>
    <r>
      <t>Churn Rate</t>
    </r>
    <r>
      <rPr>
        <sz val="12"/>
        <rFont val="Times New Roman"/>
        <family val="1"/>
      </rPr>
      <t> </t>
    </r>
  </si>
  <si>
    <t>5% monthly </t>
  </si>
  <si>
    <t>Conservative SaaS estimate </t>
  </si>
  <si>
    <r>
      <t>Customer Acquisition Cost (CAC)</t>
    </r>
    <r>
      <rPr>
        <sz val="12"/>
        <rFont val="Times New Roman"/>
        <family val="1"/>
      </rPr>
      <t> </t>
    </r>
  </si>
  <si>
    <t>$30 Year 1 → $6 Year 3 </t>
  </si>
  <si>
    <t>Marketing efficiency improves over time </t>
  </si>
  <si>
    <r>
      <t>Lifetime Value (LTV)</t>
    </r>
    <r>
      <rPr>
        <sz val="12"/>
        <rFont val="Times New Roman"/>
        <family val="1"/>
      </rPr>
      <t> </t>
    </r>
  </si>
  <si>
    <t>$180 → $300 </t>
  </si>
  <si>
    <t>With improved retention </t>
  </si>
  <si>
    <r>
      <t>Discount Rate (DCF)</t>
    </r>
    <r>
      <rPr>
        <sz val="12"/>
        <rFont val="Times New Roman"/>
        <family val="1"/>
      </rPr>
      <t> </t>
    </r>
  </si>
  <si>
    <t>Moderate investor assumption </t>
  </si>
  <si>
    <r>
      <t>Tax Rate</t>
    </r>
    <r>
      <rPr>
        <sz val="12"/>
        <rFont val="Times New Roman"/>
        <family val="1"/>
      </rPr>
      <t> </t>
    </r>
  </si>
  <si>
    <t>25% (post-profit) </t>
  </si>
  <si>
    <t>Standard for C-Corp </t>
  </si>
  <si>
    <r>
      <t>Funding Source</t>
    </r>
    <r>
      <rPr>
        <sz val="12"/>
        <rFont val="Times New Roman"/>
        <family val="1"/>
      </rPr>
      <t> </t>
    </r>
  </si>
  <si>
    <r>
      <t>Eligibility / Purpose</t>
    </r>
    <r>
      <rPr>
        <sz val="12"/>
        <rFont val="Times New Roman"/>
        <family val="1"/>
      </rPr>
      <t> </t>
    </r>
  </si>
  <si>
    <r>
      <t>Potential Amount</t>
    </r>
    <r>
      <rPr>
        <sz val="12"/>
        <rFont val="Times New Roman"/>
        <family val="1"/>
      </rPr>
      <t> </t>
    </r>
  </si>
  <si>
    <r>
      <t>CPP Enterprises Pilot Budget</t>
    </r>
    <r>
      <rPr>
        <sz val="12"/>
        <rFont val="Times New Roman"/>
        <family val="1"/>
      </rPr>
      <t> </t>
    </r>
  </si>
  <si>
    <t>Smart campus pilot &amp; data collection </t>
  </si>
  <si>
    <t>$50,000–$100,000 </t>
  </si>
  <si>
    <r>
      <t>CSU Sustainability Grant</t>
    </r>
    <r>
      <rPr>
        <sz val="12"/>
        <rFont val="Times New Roman"/>
        <family val="1"/>
      </rPr>
      <t> </t>
    </r>
  </si>
  <si>
    <t>Green technology &amp; emissions reduction </t>
  </si>
  <si>
    <t>$100,000+ </t>
  </si>
  <si>
    <r>
      <t>Caltrans Innovation Fund</t>
    </r>
    <r>
      <rPr>
        <sz val="12"/>
        <rFont val="Times New Roman"/>
        <family val="1"/>
      </rPr>
      <t> </t>
    </r>
  </si>
  <si>
    <t>Transportation efficiency pilot </t>
  </si>
  <si>
    <t>$50,000 </t>
  </si>
  <si>
    <r>
      <t>Private Partnership (IoT/AI vendor)</t>
    </r>
    <r>
      <rPr>
        <sz val="12"/>
        <rFont val="Times New Roman"/>
        <family val="1"/>
      </rPr>
      <t> </t>
    </r>
  </si>
  <si>
    <t>Equipment sponsorship &amp; data-sharing </t>
  </si>
  <si>
    <t>In-kind or $25,000+ </t>
  </si>
  <si>
    <r>
      <t>Student Innovation Fund (CPP)</t>
    </r>
    <r>
      <rPr>
        <sz val="12"/>
        <rFont val="Times New Roman"/>
        <family val="1"/>
      </rPr>
      <t> </t>
    </r>
  </si>
  <si>
    <t>Research &amp; development support </t>
  </si>
  <si>
    <t>$10,000–$20,000 </t>
  </si>
  <si>
    <r>
      <t>Type</t>
    </r>
    <r>
      <rPr>
        <sz val="12"/>
        <rFont val="Times New Roman"/>
        <family val="1"/>
      </rPr>
      <t> </t>
    </r>
  </si>
  <si>
    <r>
      <t>Estimated Annual Cost (USD)</t>
    </r>
    <r>
      <rPr>
        <sz val="12"/>
        <rFont val="Times New Roman"/>
        <family val="1"/>
      </rPr>
      <t> </t>
    </r>
  </si>
  <si>
    <r>
      <t>Notes</t>
    </r>
    <r>
      <rPr>
        <sz val="12"/>
        <rFont val="Times New Roman"/>
        <family val="1"/>
      </rPr>
      <t> </t>
    </r>
  </si>
  <si>
    <t>Cloud Hosting &amp; Infrastructure </t>
  </si>
  <si>
    <r>
      <t>Fixed</t>
    </r>
    <r>
      <rPr>
        <sz val="12"/>
        <rFont val="Times New Roman"/>
        <family val="1"/>
      </rPr>
      <t> </t>
    </r>
  </si>
  <si>
    <t>AWS servers, AI model training </t>
  </si>
  <si>
    <t>Scales with usage but baseline fixed cost </t>
  </si>
  <si>
    <t>Salaries &amp; Contractor Fees </t>
  </si>
  <si>
    <t>Core dev, AI engineer, project manager </t>
  </si>
  <si>
    <t>$120,000 </t>
  </si>
  <si>
    <t>Founding + technical team </t>
  </si>
  <si>
    <t>Office &amp; Admin </t>
  </si>
  <si>
    <t>Software licenses, tools, office overhead </t>
  </si>
  <si>
    <t>$15,000 </t>
  </si>
  <si>
    <t>For admin &amp; collaboration tools </t>
  </si>
  <si>
    <t>Insurance &amp; Legal </t>
  </si>
  <si>
    <t>Business insurance, IP filings, compliance </t>
  </si>
  <si>
    <t>Annual recurring </t>
  </si>
  <si>
    <r>
      <t>Variable Cost / Unit</t>
    </r>
    <r>
      <rPr>
        <sz val="12"/>
        <rFont val="Times New Roman"/>
        <family val="1"/>
      </rPr>
      <t> </t>
    </r>
  </si>
  <si>
    <r>
      <t>Estimated Annual Cost</t>
    </r>
    <r>
      <rPr>
        <sz val="12"/>
        <rFont val="Times New Roman"/>
        <family val="1"/>
      </rPr>
      <t> </t>
    </r>
  </si>
  <si>
    <t>Customer Support </t>
  </si>
  <si>
    <r>
      <t>Variable</t>
    </r>
    <r>
      <rPr>
        <sz val="12"/>
        <rFont val="Times New Roman"/>
        <family val="1"/>
      </rPr>
      <t> </t>
    </r>
  </si>
  <si>
    <t>User helpdesk, chat support </t>
  </si>
  <si>
    <t>$1.50 per user per year </t>
  </si>
  <si>
    <t>~$7,500 (5,000 users) </t>
  </si>
  <si>
    <t>Marketing &amp; Promotions </t>
  </si>
  <si>
    <t>Social media, ambassador incentives </t>
  </si>
  <si>
    <t>$10 per new subscriber </t>
  </si>
  <si>
    <t>~$50,000 (5,000 users) </t>
  </si>
  <si>
    <t>Payment Processing Fees </t>
  </si>
  <si>
    <t>2.5% of in-app transactions </t>
  </si>
  <si>
    <t>$0.10 per payment </t>
  </si>
  <si>
    <t>~$5,000 </t>
  </si>
  <si>
    <t>Sensor Maintenance </t>
  </si>
  <si>
    <t>IoT calibration and repair </t>
  </si>
  <si>
    <t>$25 per sensor per year </t>
  </si>
  <si>
    <t>~$12,500 (500 sensors) </t>
  </si>
  <si>
    <r>
      <t>Total Startup Cost</t>
    </r>
    <r>
      <rPr>
        <sz val="14"/>
        <rFont val="Times New Roman"/>
        <family val="1"/>
      </rPr>
      <t> </t>
    </r>
  </si>
  <si>
    <r>
      <t>100%</t>
    </r>
    <r>
      <rPr>
        <sz val="14"/>
        <rFont val="Times New Roman"/>
        <family val="1"/>
      </rPr>
      <t> </t>
    </r>
  </si>
  <si>
    <r>
      <t>Total Uses</t>
    </r>
    <r>
      <rPr>
        <sz val="14"/>
        <rFont val="Times New Roman"/>
        <family val="1"/>
      </rPr>
      <t> </t>
    </r>
  </si>
  <si>
    <r>
      <t>$250,000</t>
    </r>
    <r>
      <rPr>
        <sz val="14"/>
        <rFont val="Times New Roman"/>
        <family val="1"/>
      </rPr>
      <t> </t>
    </r>
  </si>
  <si>
    <r>
      <t>Total Variable Costs</t>
    </r>
    <r>
      <rPr>
        <sz val="14"/>
        <rFont val="Times New Roman"/>
        <family val="1"/>
      </rPr>
      <t> </t>
    </r>
  </si>
  <si>
    <r>
      <t>~$75,000</t>
    </r>
    <r>
      <rPr>
        <sz val="14"/>
        <rFont val="Times New Roman"/>
        <family val="1"/>
      </rPr>
      <t> </t>
    </r>
  </si>
  <si>
    <r>
      <t>Total Fixed Costs</t>
    </r>
    <r>
      <rPr>
        <sz val="14"/>
        <rFont val="Times New Roman"/>
        <family val="1"/>
      </rPr>
      <t> </t>
    </r>
  </si>
  <si>
    <r>
      <t>$155,000</t>
    </r>
    <r>
      <rPr>
        <sz val="14"/>
        <rFont val="Times New Roman"/>
        <family val="1"/>
      </rPr>
      <t> </t>
    </r>
  </si>
  <si>
    <r>
      <t>$150,000</t>
    </r>
    <r>
      <rPr>
        <sz val="12"/>
        <rFont val="Times New Roman"/>
        <family val="1"/>
      </rPr>
      <t> </t>
    </r>
  </si>
  <si>
    <t>Final Financial Metrics
 Net Present Value (NPV)
NPV = $1,072,727.20
This is a strongly positive NPV — the project creates over $1 million in present value after accounting for the high 25% required return.
 Internal Rate of Return (IRR)
IRR = 190%
This means the project generates a return almost 2× your investment every year equivalent, far exceeding typical hurdle rates.
 Payback Period
Payback Period = 2 years
Cumulative cash flow becomes positive in Year 2.</t>
  </si>
  <si>
    <t>Initial Seed</t>
  </si>
  <si>
    <t>Second Seed</t>
  </si>
  <si>
    <r>
      <t>$180,000</t>
    </r>
    <r>
      <rPr>
        <sz val="12"/>
        <rFont val="Times New Roman"/>
        <family val="1"/>
      </rPr>
      <t> </t>
    </r>
  </si>
  <si>
    <t>$90,000 </t>
  </si>
  <si>
    <t>50% </t>
  </si>
  <si>
    <t>11% </t>
  </si>
  <si>
    <t xml:space="preserve">Break-even: 4,283 subscribers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</si>
</sst>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"/>
      <family val="2"/>
    </font>
    <font>
      <sz val="12"/>
      <name val="Aptos"/>
      <family val="2"/>
    </font>
    <font>
      <sz val="14"/>
      <name val="Aptos"/>
      <family val="2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0" xfId="0" applyFont="1"/>
    <xf numFmtId="6" fontId="5" fillId="0" borderId="0" xfId="0" applyNumberFormat="1" applyFon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5" fillId="0" borderId="0" xfId="0" applyNumberFormat="1" applyFont="1"/>
    <xf numFmtId="9" fontId="5" fillId="0" borderId="0" xfId="0" applyNumberFormat="1" applyFont="1"/>
    <xf numFmtId="0" fontId="3" fillId="0" borderId="2" xfId="2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3" fillId="0" borderId="0" xfId="0" applyFont="1"/>
    <xf numFmtId="0" fontId="10" fillId="3" borderId="10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left" vertical="center" wrapText="1"/>
    </xf>
    <xf numFmtId="164" fontId="10" fillId="0" borderId="3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164" fontId="10" fillId="0" borderId="6" xfId="0" applyNumberFormat="1" applyFont="1" applyBorder="1" applyAlignment="1">
      <alignment horizontal="left" vertical="center" wrapText="1"/>
    </xf>
    <xf numFmtId="164" fontId="9" fillId="0" borderId="5" xfId="0" applyNumberFormat="1" applyFont="1" applyBorder="1" applyAlignment="1">
      <alignment horizontal="left" vertical="center" wrapText="1"/>
    </xf>
    <xf numFmtId="164" fontId="9" fillId="0" borderId="6" xfId="0" applyNumberFormat="1" applyFont="1" applyBorder="1" applyAlignment="1">
      <alignment horizontal="left" vertical="center" wrapText="1"/>
    </xf>
    <xf numFmtId="6" fontId="10" fillId="0" borderId="3" xfId="0" applyNumberFormat="1" applyFont="1" applyBorder="1" applyAlignment="1">
      <alignment horizontal="left" vertical="center" wrapText="1"/>
    </xf>
    <xf numFmtId="6" fontId="10" fillId="0" borderId="6" xfId="0" applyNumberFormat="1" applyFont="1" applyBorder="1" applyAlignment="1">
      <alignment horizontal="left" vertical="center" wrapText="1"/>
    </xf>
    <xf numFmtId="164" fontId="14" fillId="0" borderId="2" xfId="1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6" fontId="14" fillId="0" borderId="1" xfId="0" applyNumberFormat="1" applyFont="1" applyBorder="1" applyAlignment="1">
      <alignment horizontal="left"/>
    </xf>
    <xf numFmtId="164" fontId="14" fillId="0" borderId="1" xfId="1" applyNumberFormat="1" applyFont="1" applyBorder="1" applyAlignment="1">
      <alignment horizontal="left"/>
    </xf>
    <xf numFmtId="164" fontId="14" fillId="0" borderId="1" xfId="0" applyNumberFormat="1" applyFont="1" applyBorder="1" applyAlignment="1">
      <alignment horizontal="left"/>
    </xf>
    <xf numFmtId="164" fontId="14" fillId="0" borderId="3" xfId="0" applyNumberFormat="1" applyFont="1" applyBorder="1" applyAlignment="1">
      <alignment horizontal="left"/>
    </xf>
    <xf numFmtId="6" fontId="14" fillId="0" borderId="6" xfId="0" applyNumberFormat="1" applyFont="1" applyBorder="1" applyAlignment="1">
      <alignment horizontal="left"/>
    </xf>
    <xf numFmtId="164" fontId="14" fillId="0" borderId="6" xfId="0" applyNumberFormat="1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6" fontId="14" fillId="0" borderId="3" xfId="0" applyNumberFormat="1" applyFont="1" applyBorder="1" applyAlignment="1">
      <alignment horizontal="left"/>
    </xf>
    <xf numFmtId="164" fontId="14" fillId="0" borderId="7" xfId="0" applyNumberFormat="1" applyFont="1" applyBorder="1" applyAlignment="1">
      <alignment horizontal="left"/>
    </xf>
    <xf numFmtId="6" fontId="14" fillId="0" borderId="7" xfId="0" applyNumberFormat="1" applyFont="1" applyBorder="1" applyAlignment="1">
      <alignment horizontal="left"/>
    </xf>
    <xf numFmtId="164" fontId="14" fillId="0" borderId="5" xfId="0" applyNumberFormat="1" applyFont="1" applyBorder="1" applyAlignment="1">
      <alignment horizontal="left"/>
    </xf>
    <xf numFmtId="164" fontId="10" fillId="0" borderId="1" xfId="1" applyNumberFormat="1" applyFont="1" applyBorder="1" applyAlignment="1">
      <alignment horizontal="left" vertical="center" wrapText="1"/>
    </xf>
    <xf numFmtId="164" fontId="10" fillId="0" borderId="3" xfId="1" applyNumberFormat="1" applyFont="1" applyBorder="1" applyAlignment="1">
      <alignment horizontal="left" vertical="center" wrapText="1"/>
    </xf>
    <xf numFmtId="164" fontId="9" fillId="0" borderId="6" xfId="1" applyNumberFormat="1" applyFont="1" applyBorder="1" applyAlignment="1">
      <alignment horizontal="left" vertical="center" wrapText="1"/>
    </xf>
    <xf numFmtId="6" fontId="17" fillId="0" borderId="8" xfId="0" applyNumberFormat="1" applyFont="1" applyBorder="1" applyAlignment="1">
      <alignment horizontal="left" vertical="center"/>
    </xf>
    <xf numFmtId="164" fontId="9" fillId="0" borderId="5" xfId="1" applyNumberFormat="1" applyFont="1" applyBorder="1" applyAlignment="1">
      <alignment horizontal="left" vertical="center" wrapText="1"/>
    </xf>
    <xf numFmtId="9" fontId="10" fillId="0" borderId="2" xfId="2" applyFont="1" applyBorder="1" applyAlignment="1">
      <alignment horizontal="left" vertical="center" wrapText="1"/>
    </xf>
    <xf numFmtId="9" fontId="10" fillId="0" borderId="1" xfId="2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64" fontId="14" fillId="3" borderId="1" xfId="0" applyNumberFormat="1" applyFont="1" applyFill="1" applyBorder="1" applyAlignment="1">
      <alignment horizontal="left"/>
    </xf>
    <xf numFmtId="0" fontId="11" fillId="2" borderId="19" xfId="0" applyFont="1" applyFill="1" applyBorder="1" applyAlignment="1">
      <alignment horizontal="center" vertical="center" wrapText="1"/>
    </xf>
    <xf numFmtId="164" fontId="10" fillId="0" borderId="6" xfId="1" applyNumberFormat="1" applyFont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3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'Financial Projections 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'Financial Projections 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'Financial Projections '!$B$2:$B$4</c:f>
              <c:numCache>
                <c:formatCode>"$"#,##0</c:formatCode>
                <c:ptCount val="3"/>
                <c:pt idx="0">
                  <c:v>113880</c:v>
                </c:pt>
                <c:pt idx="1">
                  <c:v>534400</c:v>
                </c:pt>
                <c:pt idx="2">
                  <c:v>2247600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2F-49F7-A550-A306D2D4999A}"/>
            </c:ext>
          </c:extLst>
        </c:ser>
        <c:ser>
          <c:idx val="1"/>
          <c:order val="1"/>
          <c:tx>
            <c:strRef>
              <c:f>'Financial Projections '!$C$1</c:f>
              <c:strCache>
                <c:ptCount val="1"/>
                <c:pt idx="0">
                  <c:v>Expenses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'Financial Projections 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'Financial Projections '!$C$2:$C$4</c:f>
              <c:numCache>
                <c:formatCode>"$"#,##0</c:formatCode>
                <c:ptCount val="3"/>
                <c:pt idx="0">
                  <c:v>128000</c:v>
                </c:pt>
                <c:pt idx="1">
                  <c:v>205000</c:v>
                </c:pt>
                <c:pt idx="2">
                  <c:v>510000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2F-49F7-A550-A306D2D4999A}"/>
            </c:ext>
          </c:extLst>
        </c:ser>
        <c:ser>
          <c:idx val="2"/>
          <c:order val="2"/>
          <c:tx>
            <c:strRef>
              <c:f>'Financial Projections '!$D$1</c:f>
              <c:strCache>
                <c:ptCount val="1"/>
                <c:pt idx="0">
                  <c:v>Net Income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'Financial Projections 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'Financial Projections '!$D$2:$D$4</c:f>
              <c:numCache>
                <c:formatCode>"$"#,##0</c:formatCode>
                <c:ptCount val="3"/>
                <c:pt idx="0">
                  <c:v>-14120</c:v>
                </c:pt>
                <c:pt idx="1">
                  <c:v>329400</c:v>
                </c:pt>
                <c:pt idx="2">
                  <c:v>1737600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2F-49F7-A550-A306D2D49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825615"/>
        <c:axId val="530115711"/>
      </c:scatterChart>
      <c:valAx>
        <c:axId val="67082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115711"/>
        <c:crosses val="autoZero"/>
        <c:crossBetween val="midCat"/>
        <c:majorUnit val="1"/>
      </c:valAx>
      <c:valAx>
        <c:axId val="53011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825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150018</xdr:colOff>
      <xdr:row>0</xdr:row>
      <xdr:rowOff>57149</xdr:rowOff>
    </xdr:from>
    <xdr:to>
      <xdr:col>13</xdr:col>
      <xdr:colOff>319088</xdr:colOff>
      <xdr:row>16</xdr:row>
      <xdr:rowOff>100012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5AFE0B-EAEC-E677-2526-BD306BB2C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133350</xdr:colOff>
      <xdr:row>18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58E25E-DE52-519C-E30D-3987F2416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667250" cy="3286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60613</xdr:colOff>
      <xdr:row>0</xdr:row>
      <xdr:rowOff>25978</xdr:rowOff>
    </xdr:from>
    <xdr:ext cx="8148205" cy="6208567"/>
    <xdr:pic>
      <xdr:nvPicPr>
        <xdr:cNvPr id="6" name="Image 3" descr="Picture">
          <a:extLst>
            <a:ext uri="{FF2B5EF4-FFF2-40B4-BE49-F238E27FC236}">
              <a16:creationId xmlns:a16="http://schemas.microsoft.com/office/drawing/2014/main" id="{DB96863A-5EC0-4CC0-829B-02A222175F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13" y="25978"/>
          <a:ext cx="8148205" cy="6208567"/>
        </a:xfrm>
        <a:prstGeom prst="rect">
          <a:avLst/>
        </a:prstGeom>
      </xdr:spPr>
    </xdr:pic>
    <xdr:clientData/>
  </xdr:oneCellAnchor>
  <xdr:oneCellAnchor>
    <xdr:from>
      <xdr:col>12</xdr:col>
      <xdr:colOff>181839</xdr:colOff>
      <xdr:row>0</xdr:row>
      <xdr:rowOff>69272</xdr:rowOff>
    </xdr:from>
    <xdr:ext cx="8373341" cy="6156614"/>
    <xdr:pic>
      <xdr:nvPicPr>
        <xdr:cNvPr id="7" name="Image 2" descr="Picture">
          <a:extLst>
            <a:ext uri="{FF2B5EF4-FFF2-40B4-BE49-F238E27FC236}">
              <a16:creationId xmlns:a16="http://schemas.microsoft.com/office/drawing/2014/main" id="{A11F63F2-9047-421B-B639-C29262064309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75021" y="69272"/>
          <a:ext cx="8373341" cy="6156614"/>
        </a:xfrm>
        <a:prstGeom prst="rect">
          <a:avLst/>
        </a:prstGeom>
      </xdr:spPr>
    </xdr:pic>
    <xdr:clientData/>
  </xdr:oneCellAnchor>
  <xdr:oneCellAnchor>
    <xdr:from>
      <xdr:col>24</xdr:col>
      <xdr:colOff>164522</xdr:colOff>
      <xdr:row>0</xdr:row>
      <xdr:rowOff>43296</xdr:rowOff>
    </xdr:from>
    <xdr:ext cx="7533409" cy="6165272"/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0A767C07-1635-4015-96D6-37760E04FF9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750886" y="43296"/>
          <a:ext cx="7533409" cy="61652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DB41-7A44-4EC6-836C-937E0B94D3F3}">
  <dimension ref="A1:D12"/>
  <sheetViews>
    <sheetView tabSelected="1" workbookViewId="0">
      <selection activeCell="C8" sqref="C8"/>
    </sheetView>
  </sheetViews>
  <sheetFormatPr defaultRowHeight="15.75" x14ac:dyDescent="0.5"/>
  <cols>
    <col min="1" max="1" width="12.3984375" style="5" customWidth="1"/>
    <col min="2" max="2" width="18.46484375" style="5" customWidth="1"/>
    <col min="3" max="3" width="21" style="5" customWidth="1"/>
    <col min="4" max="4" width="18" style="5" customWidth="1"/>
    <col min="5" max="16384" width="9.06640625" style="5"/>
  </cols>
  <sheetData>
    <row r="1" spans="1:4" ht="24" customHeight="1" thickTop="1" thickBot="1" x14ac:dyDescent="0.55000000000000004">
      <c r="A1" s="30" t="s">
        <v>33</v>
      </c>
      <c r="B1" s="30" t="s">
        <v>34</v>
      </c>
      <c r="C1" s="30" t="s">
        <v>35</v>
      </c>
      <c r="D1" s="30" t="s">
        <v>36</v>
      </c>
    </row>
    <row r="2" spans="1:4" ht="24" customHeight="1" thickTop="1" thickBot="1" x14ac:dyDescent="0.55000000000000004">
      <c r="A2" s="75">
        <v>1</v>
      </c>
      <c r="B2" s="79">
        <v>113880</v>
      </c>
      <c r="C2" s="80">
        <v>128000</v>
      </c>
      <c r="D2" s="81">
        <f>B2-C2</f>
        <v>-14120</v>
      </c>
    </row>
    <row r="3" spans="1:4" ht="24" customHeight="1" thickTop="1" thickBot="1" x14ac:dyDescent="0.55000000000000004">
      <c r="A3" s="76">
        <v>2</v>
      </c>
      <c r="B3" s="79">
        <v>534400</v>
      </c>
      <c r="C3" s="80">
        <v>205000</v>
      </c>
      <c r="D3" s="82">
        <f>B3-C3</f>
        <v>329400</v>
      </c>
    </row>
    <row r="4" spans="1:4" ht="24" customHeight="1" thickTop="1" thickBot="1" x14ac:dyDescent="0.55000000000000004">
      <c r="A4" s="76">
        <v>3</v>
      </c>
      <c r="B4" s="79">
        <v>2247600</v>
      </c>
      <c r="C4" s="80">
        <v>510000</v>
      </c>
      <c r="D4" s="82">
        <f>B4-C4</f>
        <v>1737600</v>
      </c>
    </row>
    <row r="6" spans="1:4" x14ac:dyDescent="0.5">
      <c r="A6" s="95" t="s">
        <v>302</v>
      </c>
      <c r="B6" s="95"/>
      <c r="C6" s="95"/>
      <c r="D6" s="95"/>
    </row>
    <row r="7" spans="1:4" x14ac:dyDescent="0.5">
      <c r="A7" s="95"/>
      <c r="B7" s="95"/>
      <c r="C7" s="95"/>
      <c r="D7" s="95"/>
    </row>
    <row r="10" spans="1:4" x14ac:dyDescent="0.5">
      <c r="B10" s="6"/>
      <c r="C10" s="6"/>
      <c r="D10" s="6"/>
    </row>
    <row r="11" spans="1:4" x14ac:dyDescent="0.5">
      <c r="B11" s="6"/>
      <c r="C11" s="6"/>
      <c r="D11" s="6"/>
    </row>
    <row r="12" spans="1:4" x14ac:dyDescent="0.5">
      <c r="B12" s="6"/>
      <c r="C12" s="6"/>
      <c r="D12" s="6"/>
    </row>
  </sheetData>
  <mergeCells count="1">
    <mergeCell ref="A6:D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A9DF-0B84-4370-B14D-266F77AD0276}">
  <dimension ref="A1:H27"/>
  <sheetViews>
    <sheetView workbookViewId="0">
      <selection activeCell="D19" sqref="D19"/>
    </sheetView>
  </sheetViews>
  <sheetFormatPr defaultRowHeight="15.75" x14ac:dyDescent="0.5"/>
  <cols>
    <col min="1" max="1" width="42.265625" style="5" customWidth="1"/>
    <col min="2" max="2" width="13.1328125" style="5" customWidth="1"/>
    <col min="3" max="3" width="12.86328125" style="5" customWidth="1"/>
    <col min="4" max="4" width="13.46484375" style="5" customWidth="1"/>
    <col min="5" max="5" width="21.73046875" style="5" bestFit="1" customWidth="1"/>
    <col min="6" max="6" width="10.86328125" style="5" bestFit="1" customWidth="1"/>
    <col min="7" max="7" width="10.796875" style="5" bestFit="1" customWidth="1"/>
    <col min="8" max="8" width="11.6640625" style="5" bestFit="1" customWidth="1"/>
    <col min="9" max="16384" width="9.06640625" style="5"/>
  </cols>
  <sheetData>
    <row r="1" spans="1:8" ht="24" customHeight="1" thickTop="1" thickBot="1" x14ac:dyDescent="0.55000000000000004">
      <c r="A1" s="30" t="s">
        <v>37</v>
      </c>
      <c r="B1" s="30" t="s">
        <v>38</v>
      </c>
      <c r="C1" s="30" t="s">
        <v>39</v>
      </c>
      <c r="D1" s="30" t="s">
        <v>40</v>
      </c>
    </row>
    <row r="2" spans="1:8" ht="24" customHeight="1" thickTop="1" x14ac:dyDescent="0.5">
      <c r="A2" s="42" t="s">
        <v>56</v>
      </c>
      <c r="B2" s="43"/>
      <c r="C2" s="43"/>
      <c r="D2" s="43"/>
    </row>
    <row r="3" spans="1:8" ht="24" customHeight="1" x14ac:dyDescent="0.5">
      <c r="A3" s="44" t="s">
        <v>41</v>
      </c>
      <c r="B3" s="68">
        <v>59880</v>
      </c>
      <c r="C3" s="68">
        <v>299400</v>
      </c>
      <c r="D3" s="68">
        <v>1197600</v>
      </c>
    </row>
    <row r="4" spans="1:8" ht="24" customHeight="1" x14ac:dyDescent="0.5">
      <c r="A4" s="44" t="s">
        <v>42</v>
      </c>
      <c r="B4" s="68">
        <v>50000</v>
      </c>
      <c r="C4" s="68">
        <v>225000</v>
      </c>
      <c r="D4" s="68">
        <v>1000000</v>
      </c>
    </row>
    <row r="5" spans="1:8" ht="24" customHeight="1" thickBot="1" x14ac:dyDescent="0.55000000000000004">
      <c r="A5" s="44" t="s">
        <v>43</v>
      </c>
      <c r="B5" s="69">
        <v>4000</v>
      </c>
      <c r="C5" s="69">
        <v>10000</v>
      </c>
      <c r="D5" s="69">
        <v>50000</v>
      </c>
    </row>
    <row r="6" spans="1:8" ht="24" customHeight="1" thickTop="1" thickBot="1" x14ac:dyDescent="0.55000000000000004">
      <c r="A6" s="47" t="s">
        <v>44</v>
      </c>
      <c r="B6" s="70">
        <v>113880</v>
      </c>
      <c r="C6" s="70">
        <v>534400</v>
      </c>
      <c r="D6" s="70">
        <v>2247600</v>
      </c>
    </row>
    <row r="7" spans="1:8" ht="24" customHeight="1" x14ac:dyDescent="0.5">
      <c r="A7" s="44"/>
      <c r="B7" s="43"/>
      <c r="C7" s="43"/>
      <c r="D7" s="43"/>
    </row>
    <row r="8" spans="1:8" ht="24" customHeight="1" x14ac:dyDescent="0.5">
      <c r="A8" s="47" t="s">
        <v>45</v>
      </c>
      <c r="B8" s="44"/>
      <c r="C8" s="44"/>
      <c r="D8" s="44"/>
      <c r="E8" s="7"/>
    </row>
    <row r="9" spans="1:8" ht="24" customHeight="1" x14ac:dyDescent="0.5">
      <c r="A9" s="44" t="s">
        <v>46</v>
      </c>
      <c r="B9" s="45">
        <v>60000</v>
      </c>
      <c r="C9" s="45">
        <v>40000</v>
      </c>
      <c r="D9" s="45">
        <v>100000</v>
      </c>
      <c r="E9" s="8"/>
      <c r="F9" s="9"/>
      <c r="G9" s="9"/>
      <c r="H9" s="9"/>
    </row>
    <row r="10" spans="1:8" ht="24" customHeight="1" x14ac:dyDescent="0.5">
      <c r="A10" s="44" t="s">
        <v>47</v>
      </c>
      <c r="B10" s="45">
        <v>30000</v>
      </c>
      <c r="C10" s="45">
        <v>50000</v>
      </c>
      <c r="D10" s="45">
        <v>120000</v>
      </c>
      <c r="E10" s="8"/>
      <c r="F10" s="9"/>
      <c r="G10" s="9"/>
      <c r="H10" s="9"/>
    </row>
    <row r="11" spans="1:8" ht="24" customHeight="1" x14ac:dyDescent="0.5">
      <c r="A11" s="44" t="s">
        <v>48</v>
      </c>
      <c r="B11" s="45">
        <v>20000</v>
      </c>
      <c r="C11" s="45">
        <v>70000</v>
      </c>
      <c r="D11" s="45">
        <v>180000</v>
      </c>
      <c r="E11" s="8"/>
      <c r="F11" s="9"/>
      <c r="G11" s="9"/>
      <c r="H11" s="9"/>
    </row>
    <row r="12" spans="1:8" ht="24" customHeight="1" x14ac:dyDescent="0.5">
      <c r="A12" s="44" t="s">
        <v>49</v>
      </c>
      <c r="B12" s="45">
        <v>10000</v>
      </c>
      <c r="C12" s="45">
        <v>20000</v>
      </c>
      <c r="D12" s="45">
        <v>50000</v>
      </c>
      <c r="E12" s="8"/>
      <c r="F12" s="9"/>
      <c r="G12" s="9"/>
      <c r="H12" s="9"/>
    </row>
    <row r="13" spans="1:8" ht="24" customHeight="1" x14ac:dyDescent="0.5">
      <c r="A13" s="44" t="s">
        <v>50</v>
      </c>
      <c r="B13" s="45">
        <v>5000</v>
      </c>
      <c r="C13" s="45">
        <v>15000</v>
      </c>
      <c r="D13" s="45">
        <v>35000</v>
      </c>
      <c r="E13" s="8"/>
      <c r="F13" s="9"/>
      <c r="G13" s="9"/>
      <c r="H13" s="9"/>
    </row>
    <row r="14" spans="1:8" ht="24" customHeight="1" thickBot="1" x14ac:dyDescent="0.55000000000000004">
      <c r="A14" s="44" t="s">
        <v>51</v>
      </c>
      <c r="B14" s="46">
        <v>3000</v>
      </c>
      <c r="C14" s="46">
        <v>10000</v>
      </c>
      <c r="D14" s="46">
        <v>25000</v>
      </c>
      <c r="E14" s="8"/>
      <c r="F14" s="9"/>
      <c r="G14" s="9"/>
      <c r="H14" s="9"/>
    </row>
    <row r="15" spans="1:8" ht="24" customHeight="1" thickTop="1" thickBot="1" x14ac:dyDescent="0.55000000000000004">
      <c r="A15" s="47" t="s">
        <v>52</v>
      </c>
      <c r="B15" s="50">
        <v>128000</v>
      </c>
      <c r="C15" s="50">
        <v>205000</v>
      </c>
      <c r="D15" s="50">
        <v>510000</v>
      </c>
      <c r="E15" s="7"/>
      <c r="F15" s="9"/>
      <c r="G15" s="9"/>
      <c r="H15" s="9"/>
    </row>
    <row r="16" spans="1:8" ht="24" customHeight="1" x14ac:dyDescent="0.5">
      <c r="A16" s="44"/>
      <c r="B16" s="43"/>
      <c r="C16" s="43"/>
      <c r="D16" s="43"/>
    </row>
    <row r="17" spans="1:8" ht="24" customHeight="1" thickBot="1" x14ac:dyDescent="0.55000000000000004">
      <c r="A17" s="47" t="s">
        <v>53</v>
      </c>
      <c r="B17" s="71">
        <v>-14120</v>
      </c>
      <c r="C17" s="72">
        <v>329400</v>
      </c>
      <c r="D17" s="72">
        <v>1737600</v>
      </c>
      <c r="E17" s="8"/>
    </row>
    <row r="18" spans="1:8" ht="24" customHeight="1" x14ac:dyDescent="0.5">
      <c r="A18" s="47" t="s">
        <v>54</v>
      </c>
      <c r="B18" s="73">
        <v>0.96</v>
      </c>
      <c r="C18" s="73">
        <v>0.96</v>
      </c>
      <c r="D18" s="73">
        <v>0.97</v>
      </c>
      <c r="E18" s="8"/>
      <c r="F18" s="10"/>
      <c r="G18" s="10"/>
      <c r="H18" s="10"/>
    </row>
    <row r="19" spans="1:8" ht="24" customHeight="1" x14ac:dyDescent="0.5">
      <c r="A19" s="47" t="s">
        <v>55</v>
      </c>
      <c r="B19" s="74">
        <v>-0.12</v>
      </c>
      <c r="C19" s="74">
        <v>0.62</v>
      </c>
      <c r="D19" s="74">
        <v>0.77</v>
      </c>
      <c r="E19" s="8"/>
      <c r="F19" s="10"/>
      <c r="G19" s="10"/>
      <c r="H19" s="10"/>
    </row>
    <row r="27" spans="1:8" x14ac:dyDescent="0.5">
      <c r="A27"/>
      <c r="B27"/>
      <c r="C27"/>
      <c r="D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FBA0-F724-4AD1-8CB5-35822F5C5537}">
  <dimension ref="A1:E23"/>
  <sheetViews>
    <sheetView zoomScale="85" zoomScaleNormal="85" workbookViewId="0">
      <selection activeCell="B17" sqref="B17"/>
    </sheetView>
  </sheetViews>
  <sheetFormatPr defaultRowHeight="15.75" x14ac:dyDescent="0.5"/>
  <cols>
    <col min="1" max="1" width="36.3984375" style="5" customWidth="1"/>
    <col min="2" max="2" width="13.46484375" style="5" customWidth="1"/>
    <col min="3" max="3" width="13.53125" style="5" customWidth="1"/>
    <col min="4" max="4" width="13.796875" style="5" customWidth="1"/>
    <col min="5" max="5" width="28.6640625" style="5" bestFit="1" customWidth="1"/>
    <col min="6" max="6" width="10.3984375" style="5" customWidth="1"/>
    <col min="7" max="7" width="10.53125" style="5" customWidth="1"/>
    <col min="8" max="8" width="11.1328125" style="5" customWidth="1"/>
    <col min="9" max="16384" width="9.06640625" style="5"/>
  </cols>
  <sheetData>
    <row r="1" spans="1:4" ht="24" customHeight="1" thickTop="1" thickBot="1" x14ac:dyDescent="0.55000000000000004">
      <c r="A1" s="30" t="s">
        <v>57</v>
      </c>
      <c r="B1" s="30" t="s">
        <v>38</v>
      </c>
      <c r="C1" s="30" t="s">
        <v>39</v>
      </c>
      <c r="D1" s="30" t="s">
        <v>40</v>
      </c>
    </row>
    <row r="2" spans="1:4" ht="24" customHeight="1" thickTop="1" x14ac:dyDescent="0.5">
      <c r="A2" s="42" t="s">
        <v>58</v>
      </c>
      <c r="B2" s="53">
        <v>0</v>
      </c>
      <c r="C2" s="53">
        <v>135880</v>
      </c>
      <c r="D2" s="53">
        <v>465280</v>
      </c>
    </row>
    <row r="3" spans="1:4" ht="24" customHeight="1" x14ac:dyDescent="0.5">
      <c r="A3" s="54"/>
      <c r="B3" s="54"/>
      <c r="C3" s="54"/>
      <c r="D3" s="54"/>
    </row>
    <row r="4" spans="1:4" ht="24" customHeight="1" x14ac:dyDescent="0.5">
      <c r="A4" s="55" t="s">
        <v>59</v>
      </c>
      <c r="B4" s="54"/>
      <c r="C4" s="54"/>
      <c r="D4" s="54"/>
    </row>
    <row r="5" spans="1:4" ht="24" customHeight="1" x14ac:dyDescent="0.5">
      <c r="A5" s="54" t="s">
        <v>36</v>
      </c>
      <c r="B5" s="56">
        <v>-14120</v>
      </c>
      <c r="C5" s="57">
        <v>329400</v>
      </c>
      <c r="D5" s="57">
        <v>1737600</v>
      </c>
    </row>
    <row r="6" spans="1:4" ht="24" customHeight="1" x14ac:dyDescent="0.5">
      <c r="A6" s="54" t="s">
        <v>60</v>
      </c>
      <c r="B6" s="54"/>
      <c r="C6" s="54"/>
      <c r="D6" s="54"/>
    </row>
    <row r="7" spans="1:4" ht="24" customHeight="1" x14ac:dyDescent="0.5">
      <c r="A7" s="54" t="s">
        <v>61</v>
      </c>
      <c r="B7" s="58">
        <v>0</v>
      </c>
      <c r="C7" s="56">
        <v>-20000</v>
      </c>
      <c r="D7" s="56">
        <v>-50000</v>
      </c>
    </row>
    <row r="8" spans="1:4" ht="24" customHeight="1" thickBot="1" x14ac:dyDescent="0.55000000000000004">
      <c r="A8" s="54" t="s">
        <v>62</v>
      </c>
      <c r="B8" s="59">
        <v>0</v>
      </c>
      <c r="C8" s="59">
        <v>10000</v>
      </c>
      <c r="D8" s="59">
        <v>15000</v>
      </c>
    </row>
    <row r="9" spans="1:4" ht="24" customHeight="1" thickTop="1" thickBot="1" x14ac:dyDescent="0.55000000000000004">
      <c r="A9" s="55" t="s">
        <v>63</v>
      </c>
      <c r="B9" s="60">
        <v>-14120</v>
      </c>
      <c r="C9" s="61">
        <v>319400</v>
      </c>
      <c r="D9" s="61">
        <v>1702600</v>
      </c>
    </row>
    <row r="10" spans="1:4" ht="24" customHeight="1" x14ac:dyDescent="0.5">
      <c r="A10" s="62"/>
      <c r="B10" s="63"/>
      <c r="C10" s="63"/>
      <c r="D10" s="63"/>
    </row>
    <row r="11" spans="1:4" ht="24" customHeight="1" x14ac:dyDescent="0.5">
      <c r="A11" s="55" t="s">
        <v>64</v>
      </c>
      <c r="B11" s="54"/>
      <c r="C11" s="54"/>
      <c r="D11" s="54"/>
    </row>
    <row r="12" spans="1:4" ht="24" customHeight="1" x14ac:dyDescent="0.5">
      <c r="A12" s="54" t="s">
        <v>65</v>
      </c>
      <c r="B12" s="56">
        <v>-10000</v>
      </c>
      <c r="C12" s="56">
        <v>-15000</v>
      </c>
      <c r="D12" s="56">
        <v>-30000</v>
      </c>
    </row>
    <row r="13" spans="1:4" ht="24" customHeight="1" thickBot="1" x14ac:dyDescent="0.55000000000000004">
      <c r="A13" s="54" t="s">
        <v>66</v>
      </c>
      <c r="B13" s="64">
        <v>-5000</v>
      </c>
      <c r="C13" s="64">
        <v>-8000</v>
      </c>
      <c r="D13" s="64">
        <v>-12000</v>
      </c>
    </row>
    <row r="14" spans="1:4" ht="24" customHeight="1" thickTop="1" thickBot="1" x14ac:dyDescent="0.55000000000000004">
      <c r="A14" s="55" t="s">
        <v>67</v>
      </c>
      <c r="B14" s="60">
        <v>-15000</v>
      </c>
      <c r="C14" s="60">
        <v>-23000</v>
      </c>
      <c r="D14" s="60">
        <v>-42000</v>
      </c>
    </row>
    <row r="15" spans="1:4" ht="24" customHeight="1" x14ac:dyDescent="0.5">
      <c r="A15" s="54"/>
      <c r="B15" s="63"/>
      <c r="C15" s="63"/>
      <c r="D15" s="63"/>
    </row>
    <row r="16" spans="1:4" ht="24" customHeight="1" x14ac:dyDescent="0.5">
      <c r="A16" s="55" t="s">
        <v>68</v>
      </c>
      <c r="B16" s="54"/>
      <c r="C16" s="54"/>
      <c r="D16" s="54"/>
    </row>
    <row r="17" spans="1:5" ht="24" customHeight="1" x14ac:dyDescent="0.5">
      <c r="A17" s="54" t="s">
        <v>69</v>
      </c>
      <c r="B17" s="77">
        <v>150000</v>
      </c>
      <c r="C17" s="58">
        <v>0</v>
      </c>
      <c r="D17" s="58">
        <v>0</v>
      </c>
    </row>
    <row r="18" spans="1:5" ht="24" customHeight="1" x14ac:dyDescent="0.5">
      <c r="A18" s="54" t="s">
        <v>70</v>
      </c>
      <c r="B18" s="58">
        <v>0</v>
      </c>
      <c r="C18" s="77">
        <v>180000</v>
      </c>
      <c r="D18" s="58">
        <v>0</v>
      </c>
    </row>
    <row r="19" spans="1:5" ht="24" customHeight="1" thickBot="1" x14ac:dyDescent="0.55000000000000004">
      <c r="A19" s="54" t="s">
        <v>71</v>
      </c>
      <c r="B19" s="59">
        <v>0</v>
      </c>
      <c r="C19" s="64">
        <v>-11000</v>
      </c>
      <c r="D19" s="64">
        <v>-15000</v>
      </c>
    </row>
    <row r="20" spans="1:5" ht="24" customHeight="1" thickTop="1" thickBot="1" x14ac:dyDescent="0.55000000000000004">
      <c r="A20" s="55" t="s">
        <v>72</v>
      </c>
      <c r="B20" s="65">
        <v>150000</v>
      </c>
      <c r="C20" s="65">
        <v>169000</v>
      </c>
      <c r="D20" s="66">
        <v>-15000</v>
      </c>
    </row>
    <row r="21" spans="1:5" ht="24" customHeight="1" x14ac:dyDescent="0.5">
      <c r="A21" s="62"/>
      <c r="B21" s="63"/>
      <c r="C21" s="63"/>
      <c r="D21" s="63"/>
    </row>
    <row r="22" spans="1:5" ht="24" customHeight="1" x14ac:dyDescent="0.5">
      <c r="A22" s="47" t="s">
        <v>73</v>
      </c>
      <c r="B22" s="58">
        <f>B20+B14+B9</f>
        <v>120880</v>
      </c>
      <c r="C22" s="58">
        <v>465400</v>
      </c>
      <c r="D22" s="58">
        <v>1645600</v>
      </c>
      <c r="E22" s="9"/>
    </row>
    <row r="23" spans="1:5" ht="24" customHeight="1" thickBot="1" x14ac:dyDescent="0.55000000000000004">
      <c r="A23" s="47" t="s">
        <v>74</v>
      </c>
      <c r="B23" s="67">
        <f>B20+B9</f>
        <v>135880</v>
      </c>
      <c r="C23" s="67">
        <v>465280</v>
      </c>
      <c r="D23" s="67">
        <v>2110880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309B-8A99-4E61-A8B3-FD24902129B2}">
  <dimension ref="A1:D31"/>
  <sheetViews>
    <sheetView workbookViewId="0">
      <selection activeCell="A33" sqref="A33"/>
    </sheetView>
  </sheetViews>
  <sheetFormatPr defaultRowHeight="14.25" x14ac:dyDescent="0.45"/>
  <cols>
    <col min="1" max="1" width="36.1328125" customWidth="1"/>
    <col min="2" max="2" width="17.73046875" customWidth="1"/>
    <col min="3" max="3" width="13.265625" customWidth="1"/>
    <col min="4" max="4" width="13.53125" customWidth="1"/>
    <col min="5" max="5" width="31.06640625" bestFit="1" customWidth="1"/>
    <col min="6" max="7" width="9.86328125" bestFit="1" customWidth="1"/>
    <col min="8" max="8" width="11.59765625" bestFit="1" customWidth="1"/>
  </cols>
  <sheetData>
    <row r="1" spans="1:4" ht="24" customHeight="1" thickTop="1" thickBot="1" x14ac:dyDescent="0.5">
      <c r="A1" s="30" t="s">
        <v>75</v>
      </c>
      <c r="B1" s="30" t="s">
        <v>38</v>
      </c>
      <c r="C1" s="30" t="s">
        <v>39</v>
      </c>
      <c r="D1" s="30" t="s">
        <v>40</v>
      </c>
    </row>
    <row r="2" spans="1:4" ht="24" customHeight="1" thickTop="1" x14ac:dyDescent="0.45">
      <c r="A2" s="42" t="s">
        <v>76</v>
      </c>
      <c r="B2" s="43"/>
      <c r="C2" s="43"/>
      <c r="D2" s="43"/>
    </row>
    <row r="3" spans="1:4" ht="24" customHeight="1" x14ac:dyDescent="0.45">
      <c r="A3" s="44" t="s">
        <v>77</v>
      </c>
      <c r="B3" s="44"/>
      <c r="C3" s="44"/>
      <c r="D3" s="44"/>
    </row>
    <row r="4" spans="1:4" ht="24" customHeight="1" x14ac:dyDescent="0.45">
      <c r="A4" s="44" t="s">
        <v>78</v>
      </c>
      <c r="B4" s="45">
        <v>135880</v>
      </c>
      <c r="C4" s="45">
        <v>465280</v>
      </c>
      <c r="D4" s="45">
        <v>2110880</v>
      </c>
    </row>
    <row r="5" spans="1:4" ht="24" customHeight="1" x14ac:dyDescent="0.45">
      <c r="A5" s="44" t="s">
        <v>79</v>
      </c>
      <c r="B5" s="45">
        <v>10000</v>
      </c>
      <c r="C5" s="45">
        <v>30000</v>
      </c>
      <c r="D5" s="45">
        <v>80000</v>
      </c>
    </row>
    <row r="6" spans="1:4" ht="24" customHeight="1" thickBot="1" x14ac:dyDescent="0.5">
      <c r="A6" s="44" t="s">
        <v>80</v>
      </c>
      <c r="B6" s="46">
        <v>5000</v>
      </c>
      <c r="C6" s="46">
        <v>8000</v>
      </c>
      <c r="D6" s="46">
        <v>12000</v>
      </c>
    </row>
    <row r="7" spans="1:4" ht="24" customHeight="1" thickTop="1" thickBot="1" x14ac:dyDescent="0.5">
      <c r="A7" s="47" t="s">
        <v>81</v>
      </c>
      <c r="B7" s="48">
        <v>150880</v>
      </c>
      <c r="C7" s="48">
        <v>503280</v>
      </c>
      <c r="D7" s="48">
        <v>2202880</v>
      </c>
    </row>
    <row r="8" spans="1:4" ht="24" customHeight="1" x14ac:dyDescent="0.45">
      <c r="A8" s="83"/>
      <c r="B8" s="84"/>
      <c r="C8" s="84"/>
      <c r="D8" s="85"/>
    </row>
    <row r="9" spans="1:4" ht="24" customHeight="1" x14ac:dyDescent="0.45">
      <c r="A9" s="44" t="s">
        <v>82</v>
      </c>
      <c r="B9" s="44"/>
      <c r="C9" s="44"/>
      <c r="D9" s="44"/>
    </row>
    <row r="10" spans="1:4" ht="24" customHeight="1" x14ac:dyDescent="0.45">
      <c r="A10" s="44" t="s">
        <v>83</v>
      </c>
      <c r="B10" s="45">
        <v>9000</v>
      </c>
      <c r="C10" s="45">
        <v>21000</v>
      </c>
      <c r="D10" s="45">
        <v>45000</v>
      </c>
    </row>
    <row r="11" spans="1:4" ht="24" customHeight="1" thickBot="1" x14ac:dyDescent="0.5">
      <c r="A11" s="44" t="s">
        <v>84</v>
      </c>
      <c r="B11" s="46">
        <v>4500</v>
      </c>
      <c r="C11" s="46">
        <v>11000</v>
      </c>
      <c r="D11" s="46">
        <v>21000</v>
      </c>
    </row>
    <row r="12" spans="1:4" ht="24" customHeight="1" thickTop="1" thickBot="1" x14ac:dyDescent="0.5">
      <c r="A12" s="47" t="s">
        <v>85</v>
      </c>
      <c r="B12" s="48">
        <v>13500</v>
      </c>
      <c r="C12" s="48">
        <v>32000</v>
      </c>
      <c r="D12" s="48">
        <v>66000</v>
      </c>
    </row>
    <row r="13" spans="1:4" ht="24" customHeight="1" x14ac:dyDescent="0.45">
      <c r="A13" s="86"/>
      <c r="B13" s="87"/>
      <c r="C13" s="87"/>
      <c r="D13" s="88"/>
    </row>
    <row r="14" spans="1:4" ht="24" customHeight="1" thickBot="1" x14ac:dyDescent="0.5">
      <c r="A14" s="47" t="s">
        <v>86</v>
      </c>
      <c r="B14" s="49">
        <v>164380</v>
      </c>
      <c r="C14" s="49">
        <v>535280</v>
      </c>
      <c r="D14" s="49">
        <v>2268880</v>
      </c>
    </row>
    <row r="15" spans="1:4" ht="24" customHeight="1" x14ac:dyDescent="0.45">
      <c r="A15" s="83"/>
      <c r="B15" s="84"/>
      <c r="C15" s="84"/>
      <c r="D15" s="85"/>
    </row>
    <row r="16" spans="1:4" ht="24" customHeight="1" x14ac:dyDescent="0.45">
      <c r="A16" s="47" t="s">
        <v>87</v>
      </c>
      <c r="B16" s="44"/>
      <c r="C16" s="44"/>
      <c r="D16" s="44"/>
    </row>
    <row r="17" spans="1:4" ht="24" customHeight="1" x14ac:dyDescent="0.45">
      <c r="A17" s="44" t="s">
        <v>88</v>
      </c>
      <c r="B17" s="44"/>
      <c r="C17" s="44"/>
      <c r="D17" s="44"/>
    </row>
    <row r="18" spans="1:4" ht="24" customHeight="1" x14ac:dyDescent="0.45">
      <c r="A18" s="44" t="s">
        <v>89</v>
      </c>
      <c r="B18" s="45">
        <v>8000</v>
      </c>
      <c r="C18" s="45">
        <v>18000</v>
      </c>
      <c r="D18" s="45">
        <v>33000</v>
      </c>
    </row>
    <row r="19" spans="1:4" ht="24" customHeight="1" thickBot="1" x14ac:dyDescent="0.5">
      <c r="A19" s="44" t="s">
        <v>90</v>
      </c>
      <c r="B19" s="46">
        <v>6500</v>
      </c>
      <c r="C19" s="46">
        <v>12000</v>
      </c>
      <c r="D19" s="46">
        <v>20000</v>
      </c>
    </row>
    <row r="20" spans="1:4" ht="24" customHeight="1" thickTop="1" thickBot="1" x14ac:dyDescent="0.5">
      <c r="A20" s="47" t="s">
        <v>91</v>
      </c>
      <c r="B20" s="48">
        <v>14500</v>
      </c>
      <c r="C20" s="48">
        <v>30000</v>
      </c>
      <c r="D20" s="48">
        <v>53000</v>
      </c>
    </row>
    <row r="21" spans="1:4" ht="24" customHeight="1" x14ac:dyDescent="0.45">
      <c r="A21" s="83"/>
      <c r="B21" s="84"/>
      <c r="C21" s="84"/>
      <c r="D21" s="85"/>
    </row>
    <row r="22" spans="1:4" ht="24" customHeight="1" x14ac:dyDescent="0.45">
      <c r="A22" s="44" t="s">
        <v>92</v>
      </c>
      <c r="B22" s="44"/>
      <c r="C22" s="44"/>
      <c r="D22" s="44"/>
    </row>
    <row r="23" spans="1:4" ht="24" customHeight="1" thickBot="1" x14ac:dyDescent="0.5">
      <c r="A23" s="44" t="s">
        <v>93</v>
      </c>
      <c r="B23" s="46">
        <v>150000</v>
      </c>
      <c r="C23" s="46">
        <v>180000</v>
      </c>
      <c r="D23" s="46">
        <v>180000</v>
      </c>
    </row>
    <row r="24" spans="1:4" ht="24" customHeight="1" thickTop="1" thickBot="1" x14ac:dyDescent="0.5">
      <c r="A24" s="47" t="s">
        <v>94</v>
      </c>
      <c r="B24" s="50">
        <v>164500</v>
      </c>
      <c r="C24" s="50">
        <v>210000</v>
      </c>
      <c r="D24" s="50">
        <v>233000</v>
      </c>
    </row>
    <row r="25" spans="1:4" ht="24" customHeight="1" x14ac:dyDescent="0.45">
      <c r="A25" s="83"/>
      <c r="B25" s="84"/>
      <c r="C25" s="84"/>
      <c r="D25" s="85"/>
    </row>
    <row r="26" spans="1:4" ht="24" customHeight="1" x14ac:dyDescent="0.45">
      <c r="A26" s="47" t="s">
        <v>95</v>
      </c>
      <c r="B26" s="44"/>
      <c r="C26" s="44"/>
      <c r="D26" s="44"/>
    </row>
    <row r="27" spans="1:4" ht="24" customHeight="1" x14ac:dyDescent="0.45">
      <c r="A27" s="44" t="s">
        <v>96</v>
      </c>
      <c r="B27" s="45">
        <v>100</v>
      </c>
      <c r="C27" s="45">
        <v>100</v>
      </c>
      <c r="D27" s="45">
        <v>100</v>
      </c>
    </row>
    <row r="28" spans="1:4" ht="24" customHeight="1" thickBot="1" x14ac:dyDescent="0.5">
      <c r="A28" s="44" t="s">
        <v>97</v>
      </c>
      <c r="B28" s="51">
        <v>-120</v>
      </c>
      <c r="C28" s="46">
        <v>325180</v>
      </c>
      <c r="D28" s="46">
        <v>2035780</v>
      </c>
    </row>
    <row r="29" spans="1:4" ht="24" customHeight="1" thickTop="1" thickBot="1" x14ac:dyDescent="0.5">
      <c r="A29" s="47" t="s">
        <v>98</v>
      </c>
      <c r="B29" s="52">
        <v>-20</v>
      </c>
      <c r="C29" s="48">
        <v>325280</v>
      </c>
      <c r="D29" s="48">
        <v>2035880</v>
      </c>
    </row>
    <row r="30" spans="1:4" ht="24" customHeight="1" x14ac:dyDescent="0.45">
      <c r="A30" s="83"/>
      <c r="B30" s="84"/>
      <c r="C30" s="84"/>
      <c r="D30" s="85"/>
    </row>
    <row r="31" spans="1:4" ht="34.9" thickBot="1" x14ac:dyDescent="0.5">
      <c r="A31" s="47" t="s">
        <v>99</v>
      </c>
      <c r="B31" s="49">
        <v>164380</v>
      </c>
      <c r="C31" s="49">
        <v>535280</v>
      </c>
      <c r="D31" s="49">
        <v>2268880</v>
      </c>
    </row>
  </sheetData>
  <mergeCells count="6">
    <mergeCell ref="A30:D30"/>
    <mergeCell ref="A8:D8"/>
    <mergeCell ref="A13:D13"/>
    <mergeCell ref="A15:D15"/>
    <mergeCell ref="A21:D21"/>
    <mergeCell ref="A25:D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4061-E9D7-4B3C-A862-C77BFB7A2CA0}">
  <dimension ref="A1:D10"/>
  <sheetViews>
    <sheetView workbookViewId="0">
      <selection activeCell="B12" sqref="B12"/>
    </sheetView>
  </sheetViews>
  <sheetFormatPr defaultRowHeight="14.25" x14ac:dyDescent="0.45"/>
  <cols>
    <col min="1" max="1" width="36.33203125" customWidth="1"/>
    <col min="2" max="2" width="13.53125" customWidth="1"/>
    <col min="3" max="3" width="13.33203125" customWidth="1"/>
    <col min="4" max="4" width="13.59765625" customWidth="1"/>
  </cols>
  <sheetData>
    <row r="1" spans="1:4" ht="24" customHeight="1" thickTop="1" thickBot="1" x14ac:dyDescent="0.5">
      <c r="A1" s="30" t="s">
        <v>100</v>
      </c>
      <c r="B1" s="30" t="s">
        <v>101</v>
      </c>
      <c r="C1" s="30" t="s">
        <v>102</v>
      </c>
      <c r="D1" s="30" t="s">
        <v>103</v>
      </c>
    </row>
    <row r="2" spans="1:4" ht="24" customHeight="1" thickTop="1" x14ac:dyDescent="0.45">
      <c r="A2" s="4" t="s">
        <v>6</v>
      </c>
      <c r="B2" s="11" t="s">
        <v>7</v>
      </c>
      <c r="C2" s="1" t="s">
        <v>8</v>
      </c>
      <c r="D2" s="1" t="s">
        <v>9</v>
      </c>
    </row>
    <row r="3" spans="1:4" ht="24" customHeight="1" x14ac:dyDescent="0.45">
      <c r="A3" s="3" t="s">
        <v>0</v>
      </c>
      <c r="B3" s="2" t="s">
        <v>1</v>
      </c>
      <c r="C3" s="2" t="s">
        <v>1</v>
      </c>
      <c r="D3" s="2" t="s">
        <v>2</v>
      </c>
    </row>
    <row r="4" spans="1:4" ht="24" customHeight="1" x14ac:dyDescent="0.45">
      <c r="A4" s="3" t="s">
        <v>3</v>
      </c>
      <c r="B4" s="12" t="s">
        <v>104</v>
      </c>
      <c r="C4" s="2" t="s">
        <v>4</v>
      </c>
      <c r="D4" s="2" t="s">
        <v>5</v>
      </c>
    </row>
    <row r="5" spans="1:4" ht="24" customHeight="1" x14ac:dyDescent="0.45">
      <c r="A5" s="3" t="s">
        <v>10</v>
      </c>
      <c r="B5" s="2" t="s">
        <v>11</v>
      </c>
      <c r="C5" s="2" t="s">
        <v>12</v>
      </c>
      <c r="D5" s="2" t="s">
        <v>13</v>
      </c>
    </row>
    <row r="6" spans="1:4" ht="24" customHeight="1" x14ac:dyDescent="0.45">
      <c r="A6" s="3" t="s">
        <v>14</v>
      </c>
      <c r="B6" s="2" t="s">
        <v>15</v>
      </c>
      <c r="C6" s="2" t="s">
        <v>16</v>
      </c>
      <c r="D6" s="2" t="s">
        <v>16</v>
      </c>
    </row>
    <row r="7" spans="1:4" ht="24" customHeight="1" x14ac:dyDescent="0.45">
      <c r="A7" s="3" t="s">
        <v>17</v>
      </c>
      <c r="B7" s="2" t="s">
        <v>18</v>
      </c>
      <c r="C7" s="2" t="s">
        <v>19</v>
      </c>
      <c r="D7" s="2" t="s">
        <v>20</v>
      </c>
    </row>
    <row r="8" spans="1:4" ht="24" customHeight="1" x14ac:dyDescent="0.45">
      <c r="A8" s="3" t="s">
        <v>21</v>
      </c>
      <c r="B8" s="2" t="s">
        <v>22</v>
      </c>
      <c r="C8" s="2" t="s">
        <v>23</v>
      </c>
      <c r="D8" s="2" t="s">
        <v>24</v>
      </c>
    </row>
    <row r="9" spans="1:4" ht="24" customHeight="1" x14ac:dyDescent="0.45">
      <c r="A9" s="3" t="s">
        <v>25</v>
      </c>
      <c r="B9" s="2" t="s">
        <v>26</v>
      </c>
      <c r="C9" s="2" t="s">
        <v>27</v>
      </c>
      <c r="D9" s="2" t="s">
        <v>28</v>
      </c>
    </row>
    <row r="10" spans="1:4" ht="24" customHeight="1" x14ac:dyDescent="0.45">
      <c r="A10" s="3" t="s">
        <v>29</v>
      </c>
      <c r="B10" s="2" t="s">
        <v>30</v>
      </c>
      <c r="C10" s="2" t="s">
        <v>31</v>
      </c>
      <c r="D10" s="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46E4-8ADA-4188-B5F5-F44901E61BB4}">
  <dimension ref="A1:D7"/>
  <sheetViews>
    <sheetView workbookViewId="0"/>
  </sheetViews>
  <sheetFormatPr defaultRowHeight="14.25" x14ac:dyDescent="0.45"/>
  <cols>
    <col min="1" max="1" width="34.06640625" customWidth="1"/>
    <col min="2" max="2" width="13.73046875" customWidth="1"/>
    <col min="3" max="3" width="12.9296875" customWidth="1"/>
    <col min="4" max="4" width="11.73046875" customWidth="1"/>
  </cols>
  <sheetData>
    <row r="1" spans="1:4" ht="18" thickTop="1" thickBot="1" x14ac:dyDescent="0.5">
      <c r="A1" s="30" t="s">
        <v>105</v>
      </c>
      <c r="B1" s="30" t="s">
        <v>106</v>
      </c>
      <c r="C1" s="30" t="s">
        <v>107</v>
      </c>
      <c r="D1" s="30" t="s">
        <v>108</v>
      </c>
    </row>
    <row r="2" spans="1:4" ht="16.149999999999999" thickTop="1" thickBot="1" x14ac:dyDescent="0.5">
      <c r="A2" s="15" t="s">
        <v>109</v>
      </c>
      <c r="B2" s="14" t="s">
        <v>110</v>
      </c>
      <c r="C2" s="14" t="s">
        <v>111</v>
      </c>
      <c r="D2" s="16" t="s">
        <v>112</v>
      </c>
    </row>
    <row r="3" spans="1:4" ht="15.75" thickBot="1" x14ac:dyDescent="0.5">
      <c r="A3" s="15" t="s">
        <v>113</v>
      </c>
      <c r="B3" s="14" t="s">
        <v>114</v>
      </c>
      <c r="C3" s="14" t="s">
        <v>115</v>
      </c>
      <c r="D3" s="16" t="s">
        <v>116</v>
      </c>
    </row>
    <row r="4" spans="1:4" ht="15.75" thickBot="1" x14ac:dyDescent="0.5">
      <c r="A4" s="15" t="s">
        <v>117</v>
      </c>
      <c r="B4" s="14" t="s">
        <v>118</v>
      </c>
      <c r="C4" s="14" t="s">
        <v>119</v>
      </c>
      <c r="D4" s="16" t="s">
        <v>120</v>
      </c>
    </row>
    <row r="5" spans="1:4" ht="15.75" thickBot="1" x14ac:dyDescent="0.5">
      <c r="A5" s="15" t="s">
        <v>121</v>
      </c>
      <c r="B5" s="14" t="s">
        <v>1</v>
      </c>
      <c r="C5" s="14" t="s">
        <v>1</v>
      </c>
      <c r="D5" s="16" t="s">
        <v>2</v>
      </c>
    </row>
    <row r="6" spans="1:4" ht="29.65" customHeight="1" thickBot="1" x14ac:dyDescent="0.5">
      <c r="A6" s="15" t="s">
        <v>122</v>
      </c>
      <c r="B6" s="14" t="s">
        <v>123</v>
      </c>
      <c r="C6" s="14" t="s">
        <v>4</v>
      </c>
      <c r="D6" s="16" t="s">
        <v>5</v>
      </c>
    </row>
    <row r="7" spans="1:4" ht="28.5" customHeight="1" x14ac:dyDescent="0.45">
      <c r="A7" s="17" t="s">
        <v>124</v>
      </c>
      <c r="B7" s="18" t="s">
        <v>125</v>
      </c>
      <c r="C7" s="18" t="s">
        <v>126</v>
      </c>
      <c r="D7" s="19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9702-0175-423C-8EB4-34058E525D65}">
  <dimension ref="A1:D19"/>
  <sheetViews>
    <sheetView topLeftCell="A11" workbookViewId="0">
      <selection activeCell="F10" sqref="F10"/>
    </sheetView>
  </sheetViews>
  <sheetFormatPr defaultRowHeight="14.25" x14ac:dyDescent="0.45"/>
  <cols>
    <col min="1" max="1" width="28.3984375" customWidth="1"/>
    <col min="2" max="2" width="39.53125" customWidth="1"/>
    <col min="3" max="3" width="10.73046875" customWidth="1"/>
    <col min="4" max="4" width="9.86328125" customWidth="1"/>
  </cols>
  <sheetData>
    <row r="1" spans="1:4" ht="24" customHeight="1" thickBot="1" x14ac:dyDescent="0.5">
      <c r="A1" s="89" t="s">
        <v>296</v>
      </c>
      <c r="B1" s="90"/>
      <c r="C1" s="90"/>
      <c r="D1" s="91"/>
    </row>
    <row r="2" spans="1:4" ht="52.15" thickBot="1" x14ac:dyDescent="0.5">
      <c r="A2" s="78" t="s">
        <v>128</v>
      </c>
      <c r="B2" s="78" t="s">
        <v>129</v>
      </c>
      <c r="C2" s="78" t="s">
        <v>130</v>
      </c>
      <c r="D2" s="78" t="s">
        <v>131</v>
      </c>
    </row>
    <row r="3" spans="1:4" ht="16.149999999999999" thickTop="1" thickBot="1" x14ac:dyDescent="0.5">
      <c r="A3" s="21" t="s">
        <v>132</v>
      </c>
      <c r="B3" s="20" t="s">
        <v>133</v>
      </c>
      <c r="C3" s="14" t="s">
        <v>134</v>
      </c>
      <c r="D3" s="16" t="s">
        <v>135</v>
      </c>
    </row>
    <row r="4" spans="1:4" ht="31.15" thickBot="1" x14ac:dyDescent="0.5">
      <c r="A4" s="21" t="s">
        <v>136</v>
      </c>
      <c r="B4" s="20" t="s">
        <v>137</v>
      </c>
      <c r="C4" s="14" t="s">
        <v>138</v>
      </c>
      <c r="D4" s="16" t="s">
        <v>139</v>
      </c>
    </row>
    <row r="5" spans="1:4" ht="15.75" thickBot="1" x14ac:dyDescent="0.5">
      <c r="A5" s="21" t="s">
        <v>140</v>
      </c>
      <c r="B5" s="20" t="s">
        <v>141</v>
      </c>
      <c r="C5" s="14" t="s">
        <v>142</v>
      </c>
      <c r="D5" s="16" t="s">
        <v>143</v>
      </c>
    </row>
    <row r="6" spans="1:4" ht="15.75" thickBot="1" x14ac:dyDescent="0.5">
      <c r="A6" s="21" t="s">
        <v>144</v>
      </c>
      <c r="B6" s="20" t="s">
        <v>145</v>
      </c>
      <c r="C6" s="14" t="s">
        <v>146</v>
      </c>
      <c r="D6" s="16" t="s">
        <v>147</v>
      </c>
    </row>
    <row r="7" spans="1:4" ht="15.75" thickBot="1" x14ac:dyDescent="0.5">
      <c r="A7" s="21" t="s">
        <v>148</v>
      </c>
      <c r="B7" s="20" t="s">
        <v>149</v>
      </c>
      <c r="C7" s="14" t="s">
        <v>150</v>
      </c>
      <c r="D7" s="16" t="s">
        <v>151</v>
      </c>
    </row>
    <row r="8" spans="1:4" ht="15.75" thickBot="1" x14ac:dyDescent="0.5">
      <c r="A8" s="21" t="s">
        <v>152</v>
      </c>
      <c r="B8" s="20" t="s">
        <v>153</v>
      </c>
      <c r="C8" s="14" t="s">
        <v>154</v>
      </c>
      <c r="D8" s="16" t="s">
        <v>155</v>
      </c>
    </row>
    <row r="9" spans="1:4" ht="17.649999999999999" x14ac:dyDescent="0.45">
      <c r="A9" s="26" t="s">
        <v>286</v>
      </c>
      <c r="B9" s="27"/>
      <c r="C9" s="17" t="s">
        <v>294</v>
      </c>
      <c r="D9" s="29" t="s">
        <v>287</v>
      </c>
    </row>
    <row r="10" spans="1:4" ht="37.5" customHeight="1" thickBot="1" x14ac:dyDescent="0.5"/>
    <row r="11" spans="1:4" ht="28.5" customHeight="1" thickBot="1" x14ac:dyDescent="0.5">
      <c r="A11" s="89" t="s">
        <v>297</v>
      </c>
      <c r="B11" s="90"/>
      <c r="C11" s="90"/>
      <c r="D11" s="91"/>
    </row>
    <row r="12" spans="1:4" ht="52.15" thickBot="1" x14ac:dyDescent="0.5">
      <c r="A12" s="78" t="s">
        <v>128</v>
      </c>
      <c r="B12" s="78" t="s">
        <v>129</v>
      </c>
      <c r="C12" s="78" t="s">
        <v>130</v>
      </c>
      <c r="D12" s="78" t="s">
        <v>131</v>
      </c>
    </row>
    <row r="13" spans="1:4" ht="16.149999999999999" thickTop="1" thickBot="1" x14ac:dyDescent="0.5">
      <c r="A13" s="21" t="s">
        <v>132</v>
      </c>
      <c r="B13" s="20" t="s">
        <v>133</v>
      </c>
      <c r="C13" s="14" t="s">
        <v>299</v>
      </c>
      <c r="D13" s="16" t="s">
        <v>300</v>
      </c>
    </row>
    <row r="14" spans="1:4" ht="31.15" thickBot="1" x14ac:dyDescent="0.5">
      <c r="A14" s="21" t="s">
        <v>136</v>
      </c>
      <c r="B14" s="20" t="s">
        <v>137</v>
      </c>
      <c r="C14" s="14" t="s">
        <v>138</v>
      </c>
      <c r="D14" s="16" t="s">
        <v>188</v>
      </c>
    </row>
    <row r="15" spans="1:4" ht="15.75" thickBot="1" x14ac:dyDescent="0.5">
      <c r="A15" s="21" t="s">
        <v>140</v>
      </c>
      <c r="B15" s="20" t="s">
        <v>141</v>
      </c>
      <c r="C15" s="14" t="s">
        <v>142</v>
      </c>
      <c r="D15" s="16" t="s">
        <v>301</v>
      </c>
    </row>
    <row r="16" spans="1:4" ht="15.75" thickBot="1" x14ac:dyDescent="0.5">
      <c r="A16" s="21" t="s">
        <v>144</v>
      </c>
      <c r="B16" s="20" t="s">
        <v>145</v>
      </c>
      <c r="C16" s="14" t="s">
        <v>146</v>
      </c>
      <c r="D16" s="16" t="s">
        <v>143</v>
      </c>
    </row>
    <row r="17" spans="1:4" ht="15.75" thickBot="1" x14ac:dyDescent="0.5">
      <c r="A17" s="21" t="s">
        <v>148</v>
      </c>
      <c r="B17" s="20" t="s">
        <v>149</v>
      </c>
      <c r="C17" s="14" t="s">
        <v>150</v>
      </c>
      <c r="D17" s="16" t="s">
        <v>151</v>
      </c>
    </row>
    <row r="18" spans="1:4" ht="15.75" thickBot="1" x14ac:dyDescent="0.5">
      <c r="A18" s="21" t="s">
        <v>152</v>
      </c>
      <c r="B18" s="20" t="s">
        <v>153</v>
      </c>
      <c r="C18" s="14" t="s">
        <v>154</v>
      </c>
      <c r="D18" s="16" t="s">
        <v>155</v>
      </c>
    </row>
    <row r="19" spans="1:4" ht="17.649999999999999" x14ac:dyDescent="0.45">
      <c r="A19" s="26" t="s">
        <v>286</v>
      </c>
      <c r="B19" s="27"/>
      <c r="C19" s="17" t="s">
        <v>298</v>
      </c>
      <c r="D19" s="29" t="s">
        <v>287</v>
      </c>
    </row>
  </sheetData>
  <mergeCells count="2">
    <mergeCell ref="A1:D1"/>
    <mergeCell ref="A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EC5F-1A55-4A61-9272-A7D9CFB98245}">
  <dimension ref="A1"/>
  <sheetViews>
    <sheetView workbookViewId="0">
      <selection activeCell="H15" sqref="H15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581A-5F98-4EFB-9201-ECC7074B7B03}">
  <dimension ref="A38:T59"/>
  <sheetViews>
    <sheetView topLeftCell="J1" zoomScale="55" zoomScaleNormal="55" workbookViewId="0">
      <selection activeCell="A38" sqref="A38:T59"/>
    </sheetView>
  </sheetViews>
  <sheetFormatPr defaultRowHeight="14.25" x14ac:dyDescent="0.45"/>
  <sheetData>
    <row r="38" spans="1:20" x14ac:dyDescent="0.45">
      <c r="A38" s="92" t="s">
        <v>295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</row>
    <row r="39" spans="1:20" x14ac:dyDescent="0.45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</row>
    <row r="40" spans="1:20" x14ac:dyDescent="0.45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</row>
    <row r="41" spans="1:20" x14ac:dyDescent="0.45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</row>
    <row r="42" spans="1:20" x14ac:dyDescent="0.45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</row>
    <row r="43" spans="1:20" x14ac:dyDescent="0.45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</row>
    <row r="44" spans="1:20" x14ac:dyDescent="0.45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</row>
    <row r="45" spans="1:20" x14ac:dyDescent="0.45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</row>
    <row r="46" spans="1:20" x14ac:dyDescent="0.45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</row>
    <row r="47" spans="1:20" x14ac:dyDescent="0.45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</row>
    <row r="48" spans="1:20" x14ac:dyDescent="0.45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</row>
    <row r="49" spans="1:20" x14ac:dyDescent="0.45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</row>
    <row r="50" spans="1:20" x14ac:dyDescent="0.45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</row>
    <row r="51" spans="1:20" x14ac:dyDescent="0.45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</row>
    <row r="52" spans="1:20" x14ac:dyDescent="0.45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</row>
    <row r="53" spans="1:20" x14ac:dyDescent="0.45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</row>
    <row r="54" spans="1:20" x14ac:dyDescent="0.45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</row>
    <row r="55" spans="1:20" x14ac:dyDescent="0.4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</row>
    <row r="56" spans="1:20" x14ac:dyDescent="0.45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</row>
    <row r="57" spans="1:20" x14ac:dyDescent="0.45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</row>
    <row r="58" spans="1:20" x14ac:dyDescent="0.45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</row>
    <row r="59" spans="1:20" ht="74.25" customHeight="1" x14ac:dyDescent="0.45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</row>
  </sheetData>
  <mergeCells count="1">
    <mergeCell ref="A38:T5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E654-70D7-4D77-A62A-A454A6C31083}">
  <dimension ref="A1:D17"/>
  <sheetViews>
    <sheetView workbookViewId="0">
      <selection sqref="A1:D1"/>
    </sheetView>
  </sheetViews>
  <sheetFormatPr defaultRowHeight="14.25" x14ac:dyDescent="0.45"/>
  <cols>
    <col min="1" max="1" width="26.6640625" customWidth="1"/>
    <col min="2" max="2" width="35.86328125" customWidth="1"/>
    <col min="3" max="3" width="18.1328125" customWidth="1"/>
    <col min="4" max="4" width="18.06640625" customWidth="1"/>
  </cols>
  <sheetData>
    <row r="1" spans="1:4" ht="18" thickTop="1" thickBot="1" x14ac:dyDescent="0.5">
      <c r="A1" s="30" t="s">
        <v>157</v>
      </c>
      <c r="B1" s="30" t="s">
        <v>158</v>
      </c>
      <c r="C1" s="30" t="s">
        <v>159</v>
      </c>
      <c r="D1" s="30" t="s">
        <v>131</v>
      </c>
    </row>
    <row r="2" spans="1:4" ht="16.149999999999999" thickTop="1" thickBot="1" x14ac:dyDescent="0.5">
      <c r="A2" s="15" t="s">
        <v>160</v>
      </c>
      <c r="B2" s="20"/>
      <c r="C2" s="20"/>
      <c r="D2" s="23"/>
    </row>
    <row r="3" spans="1:4" ht="15.75" thickBot="1" x14ac:dyDescent="0.5">
      <c r="A3" s="21" t="s">
        <v>161</v>
      </c>
      <c r="B3" s="20" t="s">
        <v>162</v>
      </c>
      <c r="C3" s="14" t="s">
        <v>142</v>
      </c>
      <c r="D3" s="16" t="s">
        <v>163</v>
      </c>
    </row>
    <row r="4" spans="1:4" ht="15.75" thickBot="1" x14ac:dyDescent="0.5">
      <c r="A4" s="21" t="s">
        <v>164</v>
      </c>
      <c r="B4" s="20" t="s">
        <v>165</v>
      </c>
      <c r="C4" s="14" t="s">
        <v>138</v>
      </c>
      <c r="D4" s="16" t="s">
        <v>166</v>
      </c>
    </row>
    <row r="5" spans="1:4" ht="15.75" thickBot="1" x14ac:dyDescent="0.5">
      <c r="A5" s="21" t="s">
        <v>167</v>
      </c>
      <c r="B5" s="20" t="s">
        <v>168</v>
      </c>
      <c r="C5" s="14" t="s">
        <v>169</v>
      </c>
      <c r="D5" s="16" t="s">
        <v>135</v>
      </c>
    </row>
    <row r="6" spans="1:4" ht="31.15" thickBot="1" x14ac:dyDescent="0.5">
      <c r="A6" s="21" t="s">
        <v>170</v>
      </c>
      <c r="B6" s="20" t="s">
        <v>171</v>
      </c>
      <c r="C6" s="14" t="s">
        <v>172</v>
      </c>
      <c r="D6" s="16" t="s">
        <v>173</v>
      </c>
    </row>
    <row r="7" spans="1:4" ht="15.75" thickBot="1" x14ac:dyDescent="0.5">
      <c r="A7" s="21" t="s">
        <v>174</v>
      </c>
      <c r="B7" s="20" t="s">
        <v>175</v>
      </c>
      <c r="C7" s="14" t="s">
        <v>142</v>
      </c>
      <c r="D7" s="16" t="s">
        <v>163</v>
      </c>
    </row>
    <row r="8" spans="1:4" ht="15.75" thickBot="1" x14ac:dyDescent="0.5">
      <c r="A8" s="15" t="s">
        <v>176</v>
      </c>
      <c r="B8" s="20"/>
      <c r="C8" s="13" t="s">
        <v>177</v>
      </c>
      <c r="D8" s="24" t="s">
        <v>156</v>
      </c>
    </row>
    <row r="9" spans="1:4" ht="18" thickTop="1" thickBot="1" x14ac:dyDescent="0.5">
      <c r="A9" s="30" t="s">
        <v>178</v>
      </c>
      <c r="B9" s="30" t="s">
        <v>179</v>
      </c>
      <c r="C9" s="30" t="s">
        <v>159</v>
      </c>
      <c r="D9" s="30" t="s">
        <v>131</v>
      </c>
    </row>
    <row r="10" spans="1:4" ht="16.149999999999999" thickTop="1" thickBot="1" x14ac:dyDescent="0.5">
      <c r="A10" s="21" t="s">
        <v>132</v>
      </c>
      <c r="B10" s="20" t="s">
        <v>180</v>
      </c>
      <c r="C10" s="14" t="s">
        <v>134</v>
      </c>
      <c r="D10" s="16" t="s">
        <v>181</v>
      </c>
    </row>
    <row r="11" spans="1:4" ht="15.75" thickBot="1" x14ac:dyDescent="0.5">
      <c r="A11" s="21" t="s">
        <v>182</v>
      </c>
      <c r="B11" s="20" t="s">
        <v>183</v>
      </c>
      <c r="C11" s="14" t="s">
        <v>146</v>
      </c>
      <c r="D11" s="16" t="s">
        <v>184</v>
      </c>
    </row>
    <row r="12" spans="1:4" ht="15.75" thickBot="1" x14ac:dyDescent="0.5">
      <c r="A12" s="21" t="s">
        <v>185</v>
      </c>
      <c r="B12" s="20" t="s">
        <v>186</v>
      </c>
      <c r="C12" s="14" t="s">
        <v>187</v>
      </c>
      <c r="D12" s="16" t="s">
        <v>188</v>
      </c>
    </row>
    <row r="13" spans="1:4" ht="15.75" thickBot="1" x14ac:dyDescent="0.5">
      <c r="A13" s="21" t="s">
        <v>189</v>
      </c>
      <c r="B13" s="20" t="s">
        <v>190</v>
      </c>
      <c r="C13" s="14" t="s">
        <v>191</v>
      </c>
      <c r="D13" s="16" t="s">
        <v>192</v>
      </c>
    </row>
    <row r="14" spans="1:4" ht="15.75" thickBot="1" x14ac:dyDescent="0.5">
      <c r="A14" s="21" t="s">
        <v>193</v>
      </c>
      <c r="B14" s="20" t="s">
        <v>194</v>
      </c>
      <c r="C14" s="14" t="s">
        <v>154</v>
      </c>
      <c r="D14" s="16" t="s">
        <v>195</v>
      </c>
    </row>
    <row r="15" spans="1:4" ht="15.75" thickBot="1" x14ac:dyDescent="0.5">
      <c r="A15" s="21" t="s">
        <v>196</v>
      </c>
      <c r="B15" s="20" t="s">
        <v>197</v>
      </c>
      <c r="C15" s="14" t="s">
        <v>146</v>
      </c>
      <c r="D15" s="16" t="s">
        <v>184</v>
      </c>
    </row>
    <row r="16" spans="1:4" ht="15.75" thickBot="1" x14ac:dyDescent="0.5">
      <c r="A16" s="21" t="s">
        <v>198</v>
      </c>
      <c r="B16" s="20" t="s">
        <v>199</v>
      </c>
      <c r="C16" s="14" t="s">
        <v>146</v>
      </c>
      <c r="D16" s="16" t="s">
        <v>184</v>
      </c>
    </row>
    <row r="17" spans="1:4" ht="17.649999999999999" x14ac:dyDescent="0.45">
      <c r="A17" s="26" t="s">
        <v>288</v>
      </c>
      <c r="B17" s="27"/>
      <c r="C17" s="28" t="s">
        <v>289</v>
      </c>
      <c r="D17" s="29" t="s">
        <v>287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AFC9-6A32-4799-8EDA-0F4395E704AB}">
  <dimension ref="A1:C11"/>
  <sheetViews>
    <sheetView workbookViewId="0">
      <selection activeCell="B14" sqref="B14"/>
    </sheetView>
  </sheetViews>
  <sheetFormatPr defaultRowHeight="14.25" x14ac:dyDescent="0.45"/>
  <cols>
    <col min="1" max="1" width="31" customWidth="1"/>
    <col min="2" max="2" width="31.59765625" customWidth="1"/>
    <col min="3" max="3" width="38.46484375" customWidth="1"/>
  </cols>
  <sheetData>
    <row r="1" spans="1:3" ht="18" thickTop="1" thickBot="1" x14ac:dyDescent="0.5">
      <c r="A1" s="30" t="s">
        <v>157</v>
      </c>
      <c r="B1" s="30" t="s">
        <v>200</v>
      </c>
      <c r="C1" s="30" t="s">
        <v>201</v>
      </c>
    </row>
    <row r="2" spans="1:3" ht="16.149999999999999" thickTop="1" thickBot="1" x14ac:dyDescent="0.5">
      <c r="A2" s="15" t="s">
        <v>202</v>
      </c>
      <c r="B2" s="14" t="s">
        <v>203</v>
      </c>
      <c r="C2" s="23" t="s">
        <v>204</v>
      </c>
    </row>
    <row r="3" spans="1:3" ht="31.15" thickBot="1" x14ac:dyDescent="0.5">
      <c r="A3" s="15" t="s">
        <v>205</v>
      </c>
      <c r="B3" s="14" t="s">
        <v>206</v>
      </c>
      <c r="C3" s="23" t="s">
        <v>207</v>
      </c>
    </row>
    <row r="4" spans="1:3" ht="15.75" thickBot="1" x14ac:dyDescent="0.5">
      <c r="A4" s="15" t="s">
        <v>208</v>
      </c>
      <c r="B4" s="14" t="s">
        <v>209</v>
      </c>
      <c r="C4" s="23" t="s">
        <v>210</v>
      </c>
    </row>
    <row r="5" spans="1:3" ht="15.75" thickBot="1" x14ac:dyDescent="0.5">
      <c r="A5" s="15" t="s">
        <v>211</v>
      </c>
      <c r="B5" s="14" t="s">
        <v>212</v>
      </c>
      <c r="C5" s="23" t="s">
        <v>213</v>
      </c>
    </row>
    <row r="6" spans="1:3" ht="15.75" thickBot="1" x14ac:dyDescent="0.5">
      <c r="A6" s="15" t="s">
        <v>214</v>
      </c>
      <c r="B6" s="14" t="s">
        <v>215</v>
      </c>
      <c r="C6" s="23" t="s">
        <v>216</v>
      </c>
    </row>
    <row r="7" spans="1:3" ht="15.75" thickBot="1" x14ac:dyDescent="0.5">
      <c r="A7" s="15" t="s">
        <v>217</v>
      </c>
      <c r="B7" s="14" t="s">
        <v>218</v>
      </c>
      <c r="C7" s="23" t="s">
        <v>219</v>
      </c>
    </row>
    <row r="8" spans="1:3" ht="30.75" thickBot="1" x14ac:dyDescent="0.5">
      <c r="A8" s="15" t="s">
        <v>220</v>
      </c>
      <c r="B8" s="14" t="s">
        <v>221</v>
      </c>
      <c r="C8" s="23" t="s">
        <v>222</v>
      </c>
    </row>
    <row r="9" spans="1:3" ht="15.75" thickBot="1" x14ac:dyDescent="0.5">
      <c r="A9" s="15" t="s">
        <v>223</v>
      </c>
      <c r="B9" s="14" t="s">
        <v>224</v>
      </c>
      <c r="C9" s="23" t="s">
        <v>225</v>
      </c>
    </row>
    <row r="10" spans="1:3" ht="15.75" thickBot="1" x14ac:dyDescent="0.5">
      <c r="A10" s="15" t="s">
        <v>226</v>
      </c>
      <c r="B10" s="14" t="s">
        <v>184</v>
      </c>
      <c r="C10" s="23" t="s">
        <v>227</v>
      </c>
    </row>
    <row r="11" spans="1:3" ht="15.4" x14ac:dyDescent="0.45">
      <c r="A11" s="17" t="s">
        <v>228</v>
      </c>
      <c r="B11" s="18" t="s">
        <v>229</v>
      </c>
      <c r="C11" s="25" t="s">
        <v>230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52C9-B384-4C6D-9586-70CF5DB05731}">
  <dimension ref="A1:C6"/>
  <sheetViews>
    <sheetView workbookViewId="0">
      <selection activeCell="A4" sqref="A4"/>
    </sheetView>
  </sheetViews>
  <sheetFormatPr defaultRowHeight="14.25" x14ac:dyDescent="0.45"/>
  <cols>
    <col min="1" max="1" width="32.86328125" customWidth="1"/>
    <col min="2" max="2" width="37.59765625" customWidth="1"/>
    <col min="3" max="3" width="19.59765625" customWidth="1"/>
  </cols>
  <sheetData>
    <row r="1" spans="1:3" ht="35.25" thickTop="1" thickBot="1" x14ac:dyDescent="0.5">
      <c r="A1" s="30" t="s">
        <v>231</v>
      </c>
      <c r="B1" s="30" t="s">
        <v>232</v>
      </c>
      <c r="C1" s="30" t="s">
        <v>233</v>
      </c>
    </row>
    <row r="2" spans="1:3" ht="16.149999999999999" thickTop="1" thickBot="1" x14ac:dyDescent="0.5">
      <c r="A2" s="15" t="s">
        <v>234</v>
      </c>
      <c r="B2" s="20" t="s">
        <v>235</v>
      </c>
      <c r="C2" s="23" t="s">
        <v>236</v>
      </c>
    </row>
    <row r="3" spans="1:3" ht="15.75" thickBot="1" x14ac:dyDescent="0.5">
      <c r="A3" s="15" t="s">
        <v>237</v>
      </c>
      <c r="B3" s="20" t="s">
        <v>238</v>
      </c>
      <c r="C3" s="23" t="s">
        <v>239</v>
      </c>
    </row>
    <row r="4" spans="1:3" ht="15.75" thickBot="1" x14ac:dyDescent="0.5">
      <c r="A4" s="15" t="s">
        <v>240</v>
      </c>
      <c r="B4" s="20" t="s">
        <v>241</v>
      </c>
      <c r="C4" s="23" t="s">
        <v>242</v>
      </c>
    </row>
    <row r="5" spans="1:3" ht="30.75" thickBot="1" x14ac:dyDescent="0.5">
      <c r="A5" s="15" t="s">
        <v>243</v>
      </c>
      <c r="B5" s="20" t="s">
        <v>244</v>
      </c>
      <c r="C5" s="23" t="s">
        <v>245</v>
      </c>
    </row>
    <row r="6" spans="1:3" ht="15.4" x14ac:dyDescent="0.45">
      <c r="A6" s="17" t="s">
        <v>246</v>
      </c>
      <c r="B6" s="22" t="s">
        <v>247</v>
      </c>
      <c r="C6" s="25" t="s">
        <v>248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7CAF-7E11-420C-8A83-D5F06F8D2F0A}">
  <dimension ref="A1:E13"/>
  <sheetViews>
    <sheetView workbookViewId="0">
      <selection activeCell="A3" sqref="A3"/>
    </sheetView>
  </sheetViews>
  <sheetFormatPr defaultRowHeight="13.9" x14ac:dyDescent="0.4"/>
  <cols>
    <col min="1" max="1" width="26.3984375" style="31" customWidth="1"/>
    <col min="2" max="2" width="11.6640625" style="31" customWidth="1"/>
    <col min="3" max="3" width="29.9296875" style="31" customWidth="1"/>
    <col min="4" max="4" width="15.59765625" style="31" customWidth="1"/>
    <col min="5" max="5" width="33.796875" style="31" customWidth="1"/>
    <col min="6" max="16384" width="9.06640625" style="31"/>
  </cols>
  <sheetData>
    <row r="1" spans="1:5" ht="52.5" thickTop="1" thickBot="1" x14ac:dyDescent="0.45">
      <c r="A1" s="30" t="s">
        <v>157</v>
      </c>
      <c r="B1" s="30" t="s">
        <v>249</v>
      </c>
      <c r="C1" s="30" t="s">
        <v>158</v>
      </c>
      <c r="D1" s="30" t="s">
        <v>250</v>
      </c>
      <c r="E1" s="30" t="s">
        <v>251</v>
      </c>
    </row>
    <row r="2" spans="1:5" ht="47.25" customHeight="1" thickTop="1" thickBot="1" x14ac:dyDescent="0.45">
      <c r="A2" s="32" t="s">
        <v>252</v>
      </c>
      <c r="B2" s="33" t="s">
        <v>253</v>
      </c>
      <c r="C2" s="34" t="s">
        <v>254</v>
      </c>
      <c r="D2" s="35" t="s">
        <v>154</v>
      </c>
      <c r="E2" s="36" t="s">
        <v>255</v>
      </c>
    </row>
    <row r="3" spans="1:5" ht="47.25" customHeight="1" thickBot="1" x14ac:dyDescent="0.45">
      <c r="A3" s="32" t="s">
        <v>256</v>
      </c>
      <c r="B3" s="33" t="s">
        <v>253</v>
      </c>
      <c r="C3" s="34" t="s">
        <v>257</v>
      </c>
      <c r="D3" s="35" t="s">
        <v>258</v>
      </c>
      <c r="E3" s="36" t="s">
        <v>259</v>
      </c>
    </row>
    <row r="4" spans="1:5" ht="46.15" customHeight="1" thickBot="1" x14ac:dyDescent="0.45">
      <c r="A4" s="32" t="s">
        <v>260</v>
      </c>
      <c r="B4" s="33" t="s">
        <v>253</v>
      </c>
      <c r="C4" s="34" t="s">
        <v>261</v>
      </c>
      <c r="D4" s="35" t="s">
        <v>262</v>
      </c>
      <c r="E4" s="36" t="s">
        <v>263</v>
      </c>
    </row>
    <row r="5" spans="1:5" ht="45" customHeight="1" thickBot="1" x14ac:dyDescent="0.45">
      <c r="A5" s="32" t="s">
        <v>264</v>
      </c>
      <c r="B5" s="33" t="s">
        <v>253</v>
      </c>
      <c r="C5" s="34" t="s">
        <v>265</v>
      </c>
      <c r="D5" s="35" t="s">
        <v>154</v>
      </c>
      <c r="E5" s="36" t="s">
        <v>266</v>
      </c>
    </row>
    <row r="6" spans="1:5" ht="17.649999999999999" x14ac:dyDescent="0.4">
      <c r="A6" s="37" t="s">
        <v>292</v>
      </c>
      <c r="B6" s="38"/>
      <c r="C6" s="39"/>
      <c r="D6" s="40" t="s">
        <v>293</v>
      </c>
      <c r="E6" s="41"/>
    </row>
    <row r="7" spans="1:5" ht="14.25" thickBot="1" x14ac:dyDescent="0.45">
      <c r="A7" s="94"/>
      <c r="B7" s="94"/>
      <c r="C7" s="94"/>
      <c r="D7" s="94"/>
      <c r="E7" s="94"/>
    </row>
    <row r="8" spans="1:5" ht="40.5" customHeight="1" thickTop="1" thickBot="1" x14ac:dyDescent="0.45">
      <c r="A8" s="30" t="s">
        <v>157</v>
      </c>
      <c r="B8" s="30" t="s">
        <v>249</v>
      </c>
      <c r="C8" s="30" t="s">
        <v>158</v>
      </c>
      <c r="D8" s="30" t="s">
        <v>267</v>
      </c>
      <c r="E8" s="30" t="s">
        <v>268</v>
      </c>
    </row>
    <row r="9" spans="1:5" ht="31.5" thickTop="1" thickBot="1" x14ac:dyDescent="0.45">
      <c r="A9" s="21" t="s">
        <v>269</v>
      </c>
      <c r="B9" s="13" t="s">
        <v>270</v>
      </c>
      <c r="C9" s="20" t="s">
        <v>271</v>
      </c>
      <c r="D9" s="14" t="s">
        <v>272</v>
      </c>
      <c r="E9" s="16" t="s">
        <v>273</v>
      </c>
    </row>
    <row r="10" spans="1:5" ht="31.15" thickBot="1" x14ac:dyDescent="0.45">
      <c r="A10" s="21" t="s">
        <v>274</v>
      </c>
      <c r="B10" s="13" t="s">
        <v>270</v>
      </c>
      <c r="C10" s="20" t="s">
        <v>275</v>
      </c>
      <c r="D10" s="14" t="s">
        <v>276</v>
      </c>
      <c r="E10" s="16" t="s">
        <v>277</v>
      </c>
    </row>
    <row r="11" spans="1:5" ht="31.15" thickBot="1" x14ac:dyDescent="0.45">
      <c r="A11" s="21" t="s">
        <v>278</v>
      </c>
      <c r="B11" s="13" t="s">
        <v>270</v>
      </c>
      <c r="C11" s="20" t="s">
        <v>279</v>
      </c>
      <c r="D11" s="14" t="s">
        <v>280</v>
      </c>
      <c r="E11" s="16" t="s">
        <v>281</v>
      </c>
    </row>
    <row r="12" spans="1:5" ht="31.15" thickBot="1" x14ac:dyDescent="0.45">
      <c r="A12" s="21" t="s">
        <v>282</v>
      </c>
      <c r="B12" s="13" t="s">
        <v>270</v>
      </c>
      <c r="C12" s="20" t="s">
        <v>283</v>
      </c>
      <c r="D12" s="14" t="s">
        <v>284</v>
      </c>
      <c r="E12" s="16" t="s">
        <v>285</v>
      </c>
    </row>
    <row r="13" spans="1:5" ht="17.649999999999999" x14ac:dyDescent="0.4">
      <c r="A13" s="26" t="s">
        <v>290</v>
      </c>
      <c r="B13" s="27"/>
      <c r="C13" s="27"/>
      <c r="D13" s="27"/>
      <c r="E13" s="29" t="s">
        <v>291</v>
      </c>
    </row>
  </sheetData>
  <mergeCells count="1"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Financial Projections </vt:lpstr>
      <vt:lpstr>Income Statement </vt:lpstr>
      <vt:lpstr>Cash Flow Statement </vt:lpstr>
      <vt:lpstr>Balance Sheet </vt:lpstr>
      <vt:lpstr>Key Financial Ratios &amp; Metrics </vt:lpstr>
      <vt:lpstr>Summary of Key Financial Metric</vt:lpstr>
      <vt:lpstr>Startup Costs Table</vt:lpstr>
      <vt:lpstr>Break-Even Analysis</vt:lpstr>
      <vt:lpstr>NPV,IRR, Payback</vt:lpstr>
      <vt:lpstr>Sources,Uses of Funds Statement</vt:lpstr>
      <vt:lpstr>Assumptions Sheet</vt:lpstr>
      <vt:lpstr>Potentail Funding Sources</vt:lpstr>
      <vt:lpstr>Fixed and Variable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hughes</dc:creator>
  <cp:lastModifiedBy>Lucky Hughes</cp:lastModifiedBy>
  <dcterms:created xsi:type="dcterms:W3CDTF">2025-10-09T17:13:11Z</dcterms:created>
  <dcterms:modified xsi:type="dcterms:W3CDTF">2025-11-30T22:08:38Z</dcterms:modified>
</cp:coreProperties>
</file>